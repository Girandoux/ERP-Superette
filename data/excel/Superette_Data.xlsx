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irand-20260315\2_Privat\7_projet_Boutique\superette\data\excel\"/>
    </mc:Choice>
  </mc:AlternateContent>
  <xr:revisionPtr revIDLastSave="0" documentId="13_ncr:1_{1B541C3E-94A5-468A-A85E-46BC23E74CAC}" xr6:coauthVersionLast="47" xr6:coauthVersionMax="47" xr10:uidLastSave="{00000000-0000-0000-0000-000000000000}"/>
  <bookViews>
    <workbookView xWindow="-108" yWindow="-108" windowWidth="23256" windowHeight="12456" firstSheet="11" activeTab="15" xr2:uid="{6E9F0846-86AC-4AA2-B626-2CA9074A1B28}"/>
  </bookViews>
  <sheets>
    <sheet name="tous Tabelles" sheetId="1" r:id="rId1"/>
    <sheet name="caise" sheetId="11" r:id="rId2"/>
    <sheet name="dim_date" sheetId="14" r:id="rId3"/>
    <sheet name="dim_categories" sheetId="20" r:id="rId4"/>
    <sheet name="dim_produits" sheetId="2" r:id="rId5"/>
    <sheet name="dim_lignes_vente" sheetId="6" r:id="rId6"/>
    <sheet name="fact_ventes" sheetId="4" r:id="rId7"/>
    <sheet name="dim_lignes_achat" sheetId="7" r:id="rId8"/>
    <sheet name="fact_achats" sheetId="5" r:id="rId9"/>
    <sheet name="fact_depenses" sheetId="8" r:id="rId10"/>
    <sheet name="dim_pertes" sheetId="10" r:id="rId11"/>
    <sheet name="dim_acheteurs" sheetId="3" r:id="rId12"/>
    <sheet name="dim_vendeurs" sheetId="9" r:id="rId13"/>
    <sheet name="fact_tresorerie" sheetId="13" r:id="rId14"/>
    <sheet name="fact_inventaire" sheetId="16" r:id="rId15"/>
    <sheet name="iventaire_1" sheetId="21" r:id="rId16"/>
    <sheet name="liste_boutique (3)" sheetId="18" r:id="rId17"/>
  </sheets>
  <definedNames>
    <definedName name="_xlnm._FilterDatabase" localSheetId="5" hidden="1">dim_lignes_vente!$I$1:$I$183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147" i="7" l="1"/>
  <c r="H147" i="7"/>
  <c r="H142" i="7"/>
  <c r="I142" i="7"/>
  <c r="H151" i="7"/>
  <c r="H149" i="7"/>
  <c r="H148" i="7"/>
  <c r="H144" i="7"/>
  <c r="I172" i="7"/>
  <c r="H172" i="7"/>
  <c r="I171" i="7"/>
  <c r="H171" i="7"/>
  <c r="I170" i="7"/>
  <c r="H170" i="7"/>
  <c r="I169" i="7"/>
  <c r="H169" i="7"/>
  <c r="I168" i="7"/>
  <c r="H168" i="7"/>
  <c r="H164" i="7"/>
  <c r="I164" i="7"/>
  <c r="H165" i="7"/>
  <c r="I165" i="7"/>
  <c r="H166" i="7"/>
  <c r="I166" i="7"/>
  <c r="H167" i="7"/>
  <c r="I167" i="7"/>
  <c r="H161" i="7"/>
  <c r="I161" i="7"/>
  <c r="H162" i="7"/>
  <c r="I162" i="7"/>
  <c r="H163" i="7"/>
  <c r="I163" i="7"/>
  <c r="H152" i="7"/>
  <c r="I152" i="7"/>
  <c r="H153" i="7"/>
  <c r="I153" i="7"/>
  <c r="H154" i="7"/>
  <c r="I154" i="7"/>
  <c r="H155" i="7"/>
  <c r="I155" i="7"/>
  <c r="H156" i="7"/>
  <c r="I156" i="7"/>
  <c r="H157" i="7"/>
  <c r="I157" i="7"/>
  <c r="H158" i="7"/>
  <c r="I158" i="7"/>
  <c r="H159" i="7"/>
  <c r="I159" i="7"/>
  <c r="H160" i="7"/>
  <c r="I160" i="7"/>
  <c r="I148" i="7"/>
  <c r="I149" i="7"/>
  <c r="H150" i="7"/>
  <c r="I150" i="7"/>
  <c r="I151" i="7"/>
  <c r="H143" i="7"/>
  <c r="I143" i="7"/>
  <c r="I144" i="7"/>
  <c r="H145" i="7"/>
  <c r="I145" i="7"/>
  <c r="H146" i="7"/>
  <c r="I146" i="7"/>
  <c r="I141" i="7"/>
  <c r="H141" i="7"/>
  <c r="I140" i="7"/>
  <c r="H140" i="7"/>
  <c r="I139" i="7"/>
  <c r="H139" i="7"/>
  <c r="I138" i="7"/>
  <c r="H138" i="7"/>
  <c r="I137" i="7"/>
  <c r="H137" i="7"/>
  <c r="I136" i="7"/>
  <c r="H136" i="7"/>
  <c r="I135" i="7"/>
  <c r="H135" i="7"/>
  <c r="I134" i="7"/>
  <c r="H134" i="7"/>
  <c r="I133" i="7"/>
  <c r="H133" i="7"/>
  <c r="I132" i="7"/>
  <c r="H132" i="7"/>
  <c r="I131" i="7"/>
  <c r="H131" i="7"/>
  <c r="I130" i="7"/>
  <c r="H130" i="7"/>
  <c r="H114" i="7"/>
  <c r="I114" i="7"/>
  <c r="H115" i="7"/>
  <c r="I115" i="7"/>
  <c r="H116" i="7"/>
  <c r="I116" i="7"/>
  <c r="H117" i="7"/>
  <c r="I117" i="7"/>
  <c r="H118" i="7"/>
  <c r="I118" i="7"/>
  <c r="H119" i="7"/>
  <c r="I119" i="7"/>
  <c r="H120" i="7"/>
  <c r="I120" i="7"/>
  <c r="H121" i="7"/>
  <c r="I121" i="7"/>
  <c r="H122" i="7"/>
  <c r="I122" i="7"/>
  <c r="H123" i="7"/>
  <c r="I123" i="7"/>
  <c r="H124" i="7"/>
  <c r="I124" i="7"/>
  <c r="H125" i="7"/>
  <c r="I125" i="7"/>
  <c r="H126" i="7"/>
  <c r="I126" i="7"/>
  <c r="H127" i="7"/>
  <c r="I127" i="7"/>
  <c r="H128" i="7"/>
  <c r="I128" i="7"/>
  <c r="H129" i="7"/>
  <c r="I129" i="7"/>
  <c r="I113" i="7"/>
  <c r="H113" i="7"/>
  <c r="I112" i="7"/>
  <c r="H112" i="7"/>
  <c r="I111" i="7"/>
  <c r="H111" i="7"/>
  <c r="I110" i="7"/>
  <c r="H110" i="7"/>
  <c r="I109" i="7"/>
  <c r="H109" i="7"/>
  <c r="I108" i="7"/>
  <c r="H108" i="7"/>
  <c r="H100" i="7"/>
  <c r="I100" i="7"/>
  <c r="H101" i="7"/>
  <c r="I101" i="7"/>
  <c r="H102" i="7"/>
  <c r="I102" i="7"/>
  <c r="H103" i="7"/>
  <c r="I103" i="7"/>
  <c r="H104" i="7"/>
  <c r="I104" i="7"/>
  <c r="H105" i="7"/>
  <c r="I105" i="7"/>
  <c r="H106" i="7"/>
  <c r="I106" i="7"/>
  <c r="H107" i="7"/>
  <c r="I107" i="7"/>
  <c r="H94" i="7"/>
  <c r="I94" i="7"/>
  <c r="H95" i="7"/>
  <c r="I95" i="7"/>
  <c r="H96" i="7"/>
  <c r="I96" i="7"/>
  <c r="H97" i="7"/>
  <c r="I97" i="7"/>
  <c r="H98" i="7"/>
  <c r="I98" i="7"/>
  <c r="H99" i="7"/>
  <c r="I99" i="7"/>
  <c r="H82" i="7"/>
  <c r="I82" i="7"/>
  <c r="H83" i="7"/>
  <c r="I83" i="7"/>
  <c r="H84" i="7"/>
  <c r="I84" i="7"/>
  <c r="H85" i="7"/>
  <c r="I85" i="7"/>
  <c r="H86" i="7"/>
  <c r="I86" i="7"/>
  <c r="H87" i="7"/>
  <c r="I87" i="7"/>
  <c r="H88" i="7"/>
  <c r="I88" i="7"/>
  <c r="H89" i="7"/>
  <c r="I89" i="7"/>
  <c r="H90" i="7"/>
  <c r="I90" i="7"/>
  <c r="H91" i="7"/>
  <c r="I91" i="7"/>
  <c r="H92" i="7"/>
  <c r="I92" i="7"/>
  <c r="H93" i="7"/>
  <c r="I93" i="7"/>
  <c r="H78" i="7"/>
  <c r="I78" i="7"/>
  <c r="H79" i="7"/>
  <c r="I79" i="7"/>
  <c r="H80" i="7"/>
  <c r="I80" i="7"/>
  <c r="H67" i="7"/>
  <c r="I67" i="7"/>
  <c r="H68" i="7"/>
  <c r="I68" i="7"/>
  <c r="H69" i="7"/>
  <c r="I69" i="7"/>
  <c r="H70" i="7"/>
  <c r="I70" i="7"/>
  <c r="H71" i="7"/>
  <c r="I71" i="7"/>
  <c r="H72" i="7"/>
  <c r="I72" i="7"/>
  <c r="H73" i="7"/>
  <c r="I73" i="7"/>
  <c r="H74" i="7"/>
  <c r="I74" i="7"/>
  <c r="H75" i="7"/>
  <c r="I75" i="7"/>
  <c r="H76" i="7"/>
  <c r="I76" i="7"/>
  <c r="H60" i="7"/>
  <c r="I60" i="7"/>
  <c r="H61" i="7"/>
  <c r="I61" i="7"/>
  <c r="H62" i="7"/>
  <c r="I62" i="7"/>
  <c r="H63" i="7"/>
  <c r="I63" i="7"/>
  <c r="H64" i="7"/>
  <c r="I64" i="7"/>
  <c r="H65" i="7"/>
  <c r="I65" i="7"/>
  <c r="H54" i="7"/>
  <c r="I54" i="7"/>
  <c r="H55" i="7"/>
  <c r="I55" i="7"/>
  <c r="H56" i="7"/>
  <c r="I56" i="7"/>
  <c r="H57" i="7"/>
  <c r="I57" i="7"/>
  <c r="H58" i="7"/>
  <c r="I58" i="7"/>
  <c r="H48" i="7"/>
  <c r="I48" i="7"/>
  <c r="H49" i="7"/>
  <c r="I49" i="7"/>
  <c r="H50" i="7"/>
  <c r="I50" i="7"/>
  <c r="H51" i="7"/>
  <c r="I51" i="7"/>
  <c r="H52" i="7"/>
  <c r="I52" i="7"/>
  <c r="H45" i="7"/>
  <c r="I45" i="7"/>
  <c r="H46" i="7"/>
  <c r="I46" i="7"/>
  <c r="I81" i="7"/>
  <c r="H81" i="7"/>
  <c r="I77" i="7"/>
  <c r="H77" i="7"/>
  <c r="I66" i="7"/>
  <c r="H66" i="7"/>
  <c r="I59" i="7"/>
  <c r="H59" i="7"/>
  <c r="I53" i="7"/>
  <c r="H53" i="7"/>
  <c r="I47" i="7"/>
  <c r="H47" i="7"/>
  <c r="I44" i="7"/>
  <c r="H44" i="7"/>
  <c r="H39" i="7"/>
  <c r="I39" i="7"/>
  <c r="H40" i="7"/>
  <c r="I40" i="7"/>
  <c r="H41" i="7"/>
  <c r="I41" i="7"/>
  <c r="H42" i="7"/>
  <c r="I42" i="7"/>
  <c r="H43" i="7"/>
  <c r="I43" i="7"/>
  <c r="I38" i="7"/>
  <c r="H38" i="7"/>
  <c r="I37" i="7"/>
  <c r="H37" i="7"/>
  <c r="I36" i="7"/>
  <c r="H36" i="7"/>
  <c r="I35" i="7"/>
  <c r="H35" i="7"/>
  <c r="I34" i="7"/>
  <c r="H34" i="7"/>
  <c r="I33" i="7"/>
  <c r="H33" i="7"/>
  <c r="I32" i="7"/>
  <c r="H32" i="7"/>
  <c r="I27" i="7"/>
  <c r="I22" i="7"/>
  <c r="I21" i="7"/>
  <c r="H7" i="7"/>
  <c r="I7" i="7"/>
  <c r="I20" i="7"/>
  <c r="H19" i="7"/>
  <c r="I19" i="7"/>
  <c r="I23" i="7"/>
  <c r="I24" i="7"/>
  <c r="I25" i="7"/>
  <c r="I26" i="7"/>
  <c r="I28" i="7"/>
  <c r="I29" i="7"/>
  <c r="H13" i="7"/>
  <c r="I13" i="7"/>
  <c r="H14" i="7"/>
  <c r="I14" i="7"/>
  <c r="H15" i="7"/>
  <c r="I15" i="7"/>
  <c r="H16" i="7"/>
  <c r="I16" i="7"/>
  <c r="H17" i="7"/>
  <c r="I17" i="7"/>
  <c r="H18" i="7"/>
  <c r="I18" i="7"/>
  <c r="H11" i="7"/>
  <c r="I11" i="7"/>
  <c r="H12" i="7"/>
  <c r="I12" i="7"/>
  <c r="I10" i="7"/>
  <c r="H10" i="7"/>
  <c r="H8" i="7"/>
  <c r="I3" i="7"/>
  <c r="I4" i="7"/>
  <c r="I5" i="7"/>
  <c r="I6" i="7"/>
  <c r="H6" i="7"/>
  <c r="H5" i="7"/>
  <c r="H3" i="7"/>
  <c r="H4" i="7"/>
  <c r="I2" i="7"/>
  <c r="D2" i="7"/>
  <c r="H2" i="7"/>
  <c r="A10" i="8"/>
  <c r="D35" i="11"/>
  <c r="A3" i="13"/>
  <c r="A4" i="13" s="1"/>
  <c r="A9" i="16"/>
  <c r="A10" i="16"/>
  <c r="A11" i="1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2" i="6"/>
  <c r="A6" i="2"/>
  <c r="A7" i="2"/>
  <c r="A8" i="2" s="1"/>
  <c r="A9" i="2" s="1"/>
  <c r="A10" i="2" s="1"/>
  <c r="A11" i="2" s="1"/>
  <c r="A12" i="2" s="1"/>
  <c r="N4" i="7"/>
  <c r="D4" i="7"/>
  <c r="A4" i="7"/>
  <c r="A5" i="7" s="1"/>
  <c r="Q6" i="16"/>
  <c r="Q7" i="16"/>
  <c r="Q8" i="16"/>
  <c r="Q9" i="16"/>
  <c r="Q10" i="16"/>
  <c r="Q11" i="16"/>
  <c r="Q12" i="16"/>
  <c r="Q13" i="16"/>
  <c r="Q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Q45" i="16"/>
  <c r="Q46" i="16"/>
  <c r="Q47" i="16"/>
  <c r="Q48" i="16"/>
  <c r="Q49" i="16"/>
  <c r="Q50" i="16"/>
  <c r="Q51" i="16"/>
  <c r="Q52" i="16"/>
  <c r="Q53" i="16"/>
  <c r="Q54" i="16"/>
  <c r="Q55" i="16"/>
  <c r="Q56" i="16"/>
  <c r="Q57" i="16"/>
  <c r="Q58" i="16"/>
  <c r="Q59" i="16"/>
  <c r="Q60" i="16"/>
  <c r="Q61" i="16"/>
  <c r="Q62" i="16"/>
  <c r="Q63" i="16"/>
  <c r="Q64" i="16"/>
  <c r="Q65" i="16"/>
  <c r="Q66" i="16"/>
  <c r="Q67" i="16"/>
  <c r="Q68" i="16"/>
  <c r="Q69" i="16"/>
  <c r="Q70" i="16"/>
  <c r="Q71" i="16"/>
  <c r="Q72" i="16"/>
  <c r="Q73" i="16"/>
  <c r="Q74" i="16"/>
  <c r="Q75" i="16"/>
  <c r="Q76" i="16"/>
  <c r="Q77" i="16"/>
  <c r="Q78" i="16"/>
  <c r="Q79" i="16"/>
  <c r="Q80" i="16"/>
  <c r="Q81" i="16"/>
  <c r="Q82" i="16"/>
  <c r="Q83" i="16"/>
  <c r="Q84" i="16"/>
  <c r="Q85" i="16"/>
  <c r="Q86" i="16"/>
  <c r="Q87" i="16"/>
  <c r="Q88" i="16"/>
  <c r="Q89" i="16"/>
  <c r="Q90" i="16"/>
  <c r="Q91" i="16"/>
  <c r="Q92" i="16"/>
  <c r="Q93" i="16"/>
  <c r="Q94" i="16"/>
  <c r="Q95" i="16"/>
  <c r="Q96" i="16"/>
  <c r="Q97" i="16"/>
  <c r="Q98" i="16"/>
  <c r="Q99" i="16"/>
  <c r="Q100" i="16"/>
  <c r="Q101" i="16"/>
  <c r="Q102" i="16"/>
  <c r="Q103" i="16"/>
  <c r="Q104" i="16"/>
  <c r="Q2" i="16"/>
  <c r="Q3" i="16"/>
  <c r="Q4" i="16"/>
  <c r="Q5" i="16"/>
  <c r="N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2" i="7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2" i="2"/>
  <c r="P3" i="16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52" i="16"/>
  <c r="P53" i="16"/>
  <c r="P54" i="16"/>
  <c r="P55" i="16"/>
  <c r="P56" i="16"/>
  <c r="P57" i="16"/>
  <c r="P58" i="16"/>
  <c r="P59" i="16"/>
  <c r="P60" i="16"/>
  <c r="P61" i="16"/>
  <c r="P62" i="16"/>
  <c r="P63" i="16"/>
  <c r="P64" i="16"/>
  <c r="P65" i="16"/>
  <c r="P66" i="16"/>
  <c r="P67" i="16"/>
  <c r="P68" i="16"/>
  <c r="P69" i="16"/>
  <c r="P70" i="16"/>
  <c r="P71" i="16"/>
  <c r="P72" i="16"/>
  <c r="P73" i="16"/>
  <c r="P74" i="16"/>
  <c r="P75" i="16"/>
  <c r="P76" i="16"/>
  <c r="P77" i="16"/>
  <c r="P78" i="16"/>
  <c r="P79" i="16"/>
  <c r="P80" i="16"/>
  <c r="P81" i="16"/>
  <c r="P82" i="16"/>
  <c r="P83" i="16"/>
  <c r="P84" i="16"/>
  <c r="P85" i="16"/>
  <c r="P86" i="16"/>
  <c r="P87" i="16"/>
  <c r="P88" i="16"/>
  <c r="P89" i="16"/>
  <c r="P90" i="16"/>
  <c r="P91" i="16"/>
  <c r="P92" i="16"/>
  <c r="P93" i="16"/>
  <c r="P94" i="16"/>
  <c r="P95" i="16"/>
  <c r="P96" i="16"/>
  <c r="P97" i="16"/>
  <c r="P98" i="16"/>
  <c r="P99" i="16"/>
  <c r="P100" i="16"/>
  <c r="P101" i="16"/>
  <c r="P102" i="16"/>
  <c r="P103" i="16"/>
  <c r="P104" i="16"/>
  <c r="P2" i="16"/>
  <c r="A397" i="6"/>
  <c r="A398" i="6"/>
  <c r="A399" i="6"/>
  <c r="F398" i="6"/>
  <c r="F399" i="6"/>
  <c r="F397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3" i="5"/>
  <c r="D2" i="5"/>
  <c r="D31" i="7"/>
  <c r="D30" i="7"/>
  <c r="D29" i="7"/>
  <c r="D28" i="7"/>
  <c r="D27" i="7"/>
  <c r="D26" i="7"/>
  <c r="D25" i="7"/>
  <c r="D24" i="7"/>
  <c r="D23" i="7"/>
  <c r="G30" i="7"/>
  <c r="G31" i="7"/>
  <c r="G398" i="6"/>
  <c r="H398" i="6" s="1"/>
  <c r="D22" i="7"/>
  <c r="D21" i="7"/>
  <c r="I30" i="7"/>
  <c r="I31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3" i="7"/>
  <c r="D5" i="7"/>
  <c r="D6" i="7"/>
  <c r="B3" i="14"/>
  <c r="C3" i="14"/>
  <c r="D3" i="14"/>
  <c r="E3" i="14"/>
  <c r="F3" i="14"/>
  <c r="B4" i="14"/>
  <c r="C4" i="14"/>
  <c r="D4" i="14"/>
  <c r="E4" i="14"/>
  <c r="F4" i="14"/>
  <c r="B5" i="14"/>
  <c r="C5" i="14"/>
  <c r="D5" i="14"/>
  <c r="E5" i="14"/>
  <c r="F5" i="14"/>
  <c r="B6" i="14"/>
  <c r="C6" i="14"/>
  <c r="D6" i="14"/>
  <c r="E6" i="14"/>
  <c r="F6" i="14"/>
  <c r="B7" i="14"/>
  <c r="C7" i="14"/>
  <c r="D7" i="14"/>
  <c r="E7" i="14"/>
  <c r="F7" i="14"/>
  <c r="B8" i="14"/>
  <c r="C8" i="14"/>
  <c r="D8" i="14"/>
  <c r="E8" i="14"/>
  <c r="F8" i="14"/>
  <c r="B9" i="14"/>
  <c r="C9" i="14"/>
  <c r="D9" i="14"/>
  <c r="E9" i="14"/>
  <c r="F9" i="14"/>
  <c r="B10" i="14"/>
  <c r="C10" i="14"/>
  <c r="D10" i="14"/>
  <c r="E10" i="14"/>
  <c r="F10" i="14"/>
  <c r="B11" i="14"/>
  <c r="C11" i="14"/>
  <c r="D11" i="14"/>
  <c r="E11" i="14"/>
  <c r="F11" i="14"/>
  <c r="B12" i="14"/>
  <c r="C12" i="14"/>
  <c r="D12" i="14"/>
  <c r="E12" i="14"/>
  <c r="F12" i="14"/>
  <c r="B13" i="14"/>
  <c r="C13" i="14"/>
  <c r="D13" i="14"/>
  <c r="E13" i="14"/>
  <c r="F13" i="14"/>
  <c r="B14" i="14"/>
  <c r="C14" i="14"/>
  <c r="D14" i="14"/>
  <c r="E14" i="14"/>
  <c r="F14" i="14"/>
  <c r="B15" i="14"/>
  <c r="C15" i="14"/>
  <c r="D15" i="14"/>
  <c r="E15" i="14"/>
  <c r="F15" i="14"/>
  <c r="B16" i="14"/>
  <c r="C16" i="14"/>
  <c r="D16" i="14"/>
  <c r="E16" i="14"/>
  <c r="F16" i="14"/>
  <c r="B17" i="14"/>
  <c r="C17" i="14"/>
  <c r="D17" i="14"/>
  <c r="E17" i="14"/>
  <c r="F17" i="14"/>
  <c r="B18" i="14"/>
  <c r="C18" i="14"/>
  <c r="D18" i="14"/>
  <c r="E18" i="14"/>
  <c r="F18" i="14"/>
  <c r="B19" i="14"/>
  <c r="C19" i="14"/>
  <c r="D19" i="14"/>
  <c r="E19" i="14"/>
  <c r="F19" i="14"/>
  <c r="B20" i="14"/>
  <c r="C20" i="14"/>
  <c r="D20" i="14"/>
  <c r="E20" i="14"/>
  <c r="F20" i="14"/>
  <c r="B21" i="14"/>
  <c r="C21" i="14"/>
  <c r="D21" i="14"/>
  <c r="E21" i="14"/>
  <c r="F21" i="14"/>
  <c r="B22" i="14"/>
  <c r="C22" i="14"/>
  <c r="D22" i="14"/>
  <c r="E22" i="14"/>
  <c r="F22" i="14"/>
  <c r="B23" i="14"/>
  <c r="C23" i="14"/>
  <c r="D23" i="14"/>
  <c r="E23" i="14"/>
  <c r="F23" i="14"/>
  <c r="B24" i="14"/>
  <c r="C24" i="14"/>
  <c r="D24" i="14"/>
  <c r="E24" i="14"/>
  <c r="F24" i="14"/>
  <c r="B25" i="14"/>
  <c r="C25" i="14"/>
  <c r="D25" i="14"/>
  <c r="E25" i="14"/>
  <c r="F25" i="14"/>
  <c r="B26" i="14"/>
  <c r="C26" i="14"/>
  <c r="D26" i="14"/>
  <c r="E26" i="14"/>
  <c r="F26" i="14"/>
  <c r="B27" i="14"/>
  <c r="C27" i="14"/>
  <c r="D27" i="14"/>
  <c r="E27" i="14"/>
  <c r="F27" i="14"/>
  <c r="B28" i="14"/>
  <c r="C28" i="14"/>
  <c r="D28" i="14"/>
  <c r="E28" i="14"/>
  <c r="F28" i="14"/>
  <c r="B29" i="14"/>
  <c r="C29" i="14"/>
  <c r="D29" i="14"/>
  <c r="E29" i="14"/>
  <c r="F29" i="14"/>
  <c r="B30" i="14"/>
  <c r="C30" i="14"/>
  <c r="D30" i="14"/>
  <c r="E30" i="14"/>
  <c r="F30" i="14"/>
  <c r="B31" i="14"/>
  <c r="C31" i="14"/>
  <c r="D31" i="14"/>
  <c r="E31" i="14"/>
  <c r="F31" i="14"/>
  <c r="B32" i="14"/>
  <c r="C32" i="14"/>
  <c r="D32" i="14"/>
  <c r="E32" i="14"/>
  <c r="F32" i="14"/>
  <c r="B33" i="14"/>
  <c r="C33" i="14"/>
  <c r="D33" i="14"/>
  <c r="E33" i="14"/>
  <c r="F33" i="14"/>
  <c r="F2" i="14"/>
  <c r="E2" i="14"/>
  <c r="D2" i="14"/>
  <c r="C2" i="14"/>
  <c r="B2" i="14"/>
  <c r="D2" i="16"/>
  <c r="C162" i="7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2" i="20"/>
  <c r="M3" i="16"/>
  <c r="M4" i="16"/>
  <c r="M5" i="16"/>
  <c r="M6" i="16"/>
  <c r="M7" i="16"/>
  <c r="M25" i="16"/>
  <c r="M26" i="16"/>
  <c r="M27" i="16"/>
  <c r="M28" i="16"/>
  <c r="M30" i="16"/>
  <c r="M31" i="16"/>
  <c r="M32" i="16"/>
  <c r="M33" i="16"/>
  <c r="M34" i="16"/>
  <c r="M35" i="16"/>
  <c r="M38" i="16"/>
  <c r="M39" i="16"/>
  <c r="M40" i="16"/>
  <c r="M42" i="16"/>
  <c r="M43" i="16"/>
  <c r="M44" i="16"/>
  <c r="M45" i="16"/>
  <c r="M55" i="16"/>
  <c r="M56" i="16"/>
  <c r="M57" i="16"/>
  <c r="M58" i="16"/>
  <c r="M59" i="16"/>
  <c r="M60" i="16"/>
  <c r="M61" i="16"/>
  <c r="M62" i="16"/>
  <c r="M64" i="16"/>
  <c r="M65" i="16"/>
  <c r="M66" i="16"/>
  <c r="M67" i="16"/>
  <c r="M68" i="16"/>
  <c r="M69" i="16"/>
  <c r="M70" i="16"/>
  <c r="M71" i="16"/>
  <c r="M72" i="16"/>
  <c r="M73" i="16"/>
  <c r="M74" i="16"/>
  <c r="M75" i="16"/>
  <c r="M76" i="16"/>
  <c r="M77" i="16"/>
  <c r="M78" i="16"/>
  <c r="M79" i="16"/>
  <c r="M80" i="16"/>
  <c r="M81" i="16"/>
  <c r="M82" i="16"/>
  <c r="M83" i="16"/>
  <c r="M87" i="16"/>
  <c r="M89" i="16"/>
  <c r="M92" i="16"/>
  <c r="M93" i="16"/>
  <c r="M95" i="16"/>
  <c r="M96" i="16"/>
  <c r="M97" i="16"/>
  <c r="M99" i="16"/>
  <c r="M100" i="16"/>
  <c r="M101" i="16"/>
  <c r="M102" i="16"/>
  <c r="M103" i="16"/>
  <c r="M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3" i="16"/>
  <c r="H4" i="16"/>
  <c r="H5" i="16"/>
  <c r="H6" i="16"/>
  <c r="H7" i="16"/>
  <c r="H8" i="16"/>
  <c r="H9" i="16"/>
  <c r="H10" i="16"/>
  <c r="H11" i="16"/>
  <c r="H12" i="16"/>
  <c r="H2" i="16"/>
  <c r="F162" i="7"/>
  <c r="F163" i="7"/>
  <c r="F28" i="16" s="1"/>
  <c r="F164" i="7"/>
  <c r="F68" i="16" s="1"/>
  <c r="F165" i="7"/>
  <c r="F67" i="16" s="1"/>
  <c r="F166" i="7"/>
  <c r="F167" i="7"/>
  <c r="F168" i="7"/>
  <c r="F169" i="7"/>
  <c r="F170" i="7"/>
  <c r="F171" i="7"/>
  <c r="F172" i="7"/>
  <c r="F157" i="7"/>
  <c r="F26" i="16" s="1"/>
  <c r="F158" i="7"/>
  <c r="F27" i="16" s="1"/>
  <c r="F159" i="7"/>
  <c r="F64" i="16" s="1"/>
  <c r="F160" i="7"/>
  <c r="F65" i="16" s="1"/>
  <c r="F161" i="7"/>
  <c r="F66" i="16" s="1"/>
  <c r="F153" i="7"/>
  <c r="F154" i="7"/>
  <c r="F155" i="7"/>
  <c r="F156" i="7"/>
  <c r="F150" i="7"/>
  <c r="F5" i="16" s="1"/>
  <c r="F151" i="7"/>
  <c r="F152" i="7"/>
  <c r="F143" i="7"/>
  <c r="F144" i="7"/>
  <c r="F145" i="7"/>
  <c r="F146" i="7"/>
  <c r="F97" i="16" s="1"/>
  <c r="F147" i="7"/>
  <c r="F148" i="7"/>
  <c r="F149" i="7"/>
  <c r="F4" i="16" s="1"/>
  <c r="F140" i="7"/>
  <c r="F141" i="7"/>
  <c r="F142" i="7"/>
  <c r="F137" i="7"/>
  <c r="F138" i="7"/>
  <c r="F139" i="7"/>
  <c r="F134" i="7"/>
  <c r="F57" i="16" s="1"/>
  <c r="F135" i="7"/>
  <c r="F58" i="16" s="1"/>
  <c r="F136" i="7"/>
  <c r="F59" i="16" s="1"/>
  <c r="F130" i="7"/>
  <c r="F92" i="16" s="1"/>
  <c r="F131" i="7"/>
  <c r="F132" i="7"/>
  <c r="F133" i="7"/>
  <c r="F127" i="7"/>
  <c r="F128" i="7"/>
  <c r="F129" i="7"/>
  <c r="F35" i="16" s="1"/>
  <c r="F126" i="7"/>
  <c r="F125" i="7"/>
  <c r="F124" i="7"/>
  <c r="F83" i="16" s="1"/>
  <c r="F122" i="7"/>
  <c r="F81" i="16" s="1"/>
  <c r="F123" i="7"/>
  <c r="F120" i="7"/>
  <c r="F79" i="16" s="1"/>
  <c r="F121" i="7"/>
  <c r="F119" i="7"/>
  <c r="F118" i="7"/>
  <c r="F77" i="16" s="1"/>
  <c r="F117" i="7"/>
  <c r="F76" i="16" s="1"/>
  <c r="F116" i="7"/>
  <c r="F31" i="16"/>
  <c r="F107" i="7"/>
  <c r="F108" i="7"/>
  <c r="F69" i="16" s="1"/>
  <c r="F109" i="7"/>
  <c r="F110" i="7"/>
  <c r="F111" i="7"/>
  <c r="F112" i="7"/>
  <c r="F113" i="7"/>
  <c r="F114" i="7"/>
  <c r="F115" i="7"/>
  <c r="F74" i="16" s="1"/>
  <c r="F97" i="7"/>
  <c r="F98" i="7"/>
  <c r="F104" i="16" s="1"/>
  <c r="F99" i="7"/>
  <c r="F100" i="7"/>
  <c r="F19" i="16" s="1"/>
  <c r="F101" i="7"/>
  <c r="F20" i="16" s="1"/>
  <c r="F102" i="7"/>
  <c r="F21" i="16" s="1"/>
  <c r="F103" i="7"/>
  <c r="F22" i="16" s="1"/>
  <c r="F104" i="7"/>
  <c r="F23" i="16" s="1"/>
  <c r="F105" i="7"/>
  <c r="F24" i="16" s="1"/>
  <c r="F106" i="7"/>
  <c r="F87" i="7"/>
  <c r="F88" i="7"/>
  <c r="F89" i="7"/>
  <c r="F90" i="7"/>
  <c r="F91" i="7"/>
  <c r="F92" i="7"/>
  <c r="F93" i="7"/>
  <c r="F94" i="7"/>
  <c r="F96" i="7"/>
  <c r="F85" i="16" s="1"/>
  <c r="F79" i="7"/>
  <c r="F80" i="7"/>
  <c r="F81" i="7"/>
  <c r="F91" i="16" s="1"/>
  <c r="F82" i="7"/>
  <c r="F90" i="16" s="1"/>
  <c r="F83" i="7"/>
  <c r="F84" i="7"/>
  <c r="F85" i="7"/>
  <c r="F86" i="7"/>
  <c r="F72" i="7"/>
  <c r="F70" i="16" s="1"/>
  <c r="F73" i="7"/>
  <c r="F84" i="16" s="1"/>
  <c r="F74" i="7"/>
  <c r="F75" i="7"/>
  <c r="F76" i="7"/>
  <c r="F77" i="7"/>
  <c r="F78" i="7"/>
  <c r="F66" i="7"/>
  <c r="F67" i="7"/>
  <c r="F68" i="7"/>
  <c r="F69" i="7"/>
  <c r="F70" i="7"/>
  <c r="F71" i="7"/>
  <c r="F82" i="16" s="1"/>
  <c r="F60" i="7"/>
  <c r="F61" i="7"/>
  <c r="F62" i="7"/>
  <c r="F63" i="7"/>
  <c r="F64" i="7"/>
  <c r="F65" i="7"/>
  <c r="F56" i="7"/>
  <c r="F57" i="7"/>
  <c r="F58" i="7"/>
  <c r="F59" i="7"/>
  <c r="F51" i="7"/>
  <c r="F12" i="16" s="1"/>
  <c r="F52" i="7"/>
  <c r="F15" i="16" s="1"/>
  <c r="F53" i="7"/>
  <c r="F54" i="7"/>
  <c r="F55" i="7"/>
  <c r="F47" i="7"/>
  <c r="F48" i="7"/>
  <c r="F49" i="7"/>
  <c r="F50" i="7"/>
  <c r="F45" i="7"/>
  <c r="F46" i="7"/>
  <c r="F44" i="7"/>
  <c r="F41" i="7"/>
  <c r="F51" i="16" s="1"/>
  <c r="F42" i="7"/>
  <c r="F43" i="7"/>
  <c r="F38" i="7"/>
  <c r="F39" i="7"/>
  <c r="F40" i="7"/>
  <c r="F37" i="7"/>
  <c r="F36" i="7"/>
  <c r="F35" i="7"/>
  <c r="F53" i="16" s="1"/>
  <c r="F34" i="7"/>
  <c r="F33" i="7"/>
  <c r="F32" i="7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3" i="16"/>
  <c r="G4" i="16"/>
  <c r="G5" i="16"/>
  <c r="G6" i="16"/>
  <c r="G7" i="16"/>
  <c r="G8" i="16"/>
  <c r="G9" i="16"/>
  <c r="G2" i="16"/>
  <c r="F105" i="16"/>
  <c r="F93" i="16"/>
  <c r="F94" i="16"/>
  <c r="F95" i="16"/>
  <c r="F96" i="16"/>
  <c r="F98" i="16"/>
  <c r="F99" i="16"/>
  <c r="F100" i="16"/>
  <c r="F101" i="16"/>
  <c r="F102" i="16"/>
  <c r="F103" i="16"/>
  <c r="F78" i="16"/>
  <c r="F80" i="16"/>
  <c r="F86" i="16"/>
  <c r="F87" i="16"/>
  <c r="F88" i="16"/>
  <c r="F89" i="16"/>
  <c r="F71" i="16"/>
  <c r="F73" i="16"/>
  <c r="F75" i="16"/>
  <c r="F55" i="16"/>
  <c r="F56" i="16"/>
  <c r="F60" i="16"/>
  <c r="F61" i="16"/>
  <c r="F62" i="16"/>
  <c r="F63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2" i="16"/>
  <c r="F29" i="16"/>
  <c r="F30" i="16"/>
  <c r="F32" i="16"/>
  <c r="F33" i="16"/>
  <c r="F34" i="16"/>
  <c r="F25" i="16"/>
  <c r="F17" i="16"/>
  <c r="F18" i="16"/>
  <c r="F3" i="16"/>
  <c r="F6" i="16"/>
  <c r="F7" i="16"/>
  <c r="F13" i="16"/>
  <c r="F16" i="16"/>
  <c r="F2" i="16"/>
  <c r="A373" i="6"/>
  <c r="A374" i="6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8" i="10"/>
  <c r="A9" i="10" s="1"/>
  <c r="H7" i="2"/>
  <c r="G119" i="6"/>
  <c r="H119" i="6" s="1"/>
  <c r="G9" i="10"/>
  <c r="H9" i="10" s="1"/>
  <c r="G7" i="10"/>
  <c r="H7" i="10" s="1"/>
  <c r="A3" i="10"/>
  <c r="A4" i="10" s="1"/>
  <c r="A5" i="10" s="1"/>
  <c r="A6" i="10" s="1"/>
  <c r="A7" i="10" s="1"/>
  <c r="F54" i="16" l="1"/>
  <c r="I54" i="16" s="1"/>
  <c r="K54" i="16" s="1"/>
  <c r="F11" i="16"/>
  <c r="I11" i="16" s="1"/>
  <c r="K11" i="16" s="1"/>
  <c r="F8" i="16"/>
  <c r="I8" i="16" s="1"/>
  <c r="K8" i="16" s="1"/>
  <c r="F10" i="16"/>
  <c r="I10" i="16" s="1"/>
  <c r="K10" i="16" s="1"/>
  <c r="F72" i="16"/>
  <c r="I72" i="16" s="1"/>
  <c r="K72" i="16" s="1"/>
  <c r="L72" i="16" s="1"/>
  <c r="F9" i="16"/>
  <c r="I9" i="16" s="1"/>
  <c r="K9" i="16" s="1"/>
  <c r="G399" i="6"/>
  <c r="H399" i="6" s="1"/>
  <c r="F14" i="16"/>
  <c r="I14" i="16" s="1"/>
  <c r="K14" i="16" s="1"/>
  <c r="G397" i="6"/>
  <c r="H397" i="6" s="1"/>
  <c r="I67" i="16"/>
  <c r="K67" i="16" s="1"/>
  <c r="L67" i="16" s="1"/>
  <c r="I24" i="16"/>
  <c r="K24" i="16" s="1"/>
  <c r="I16" i="16"/>
  <c r="K16" i="16" s="1"/>
  <c r="I59" i="16"/>
  <c r="K59" i="16" s="1"/>
  <c r="L59" i="16" s="1"/>
  <c r="I69" i="16"/>
  <c r="K69" i="16" s="1"/>
  <c r="L69" i="16" s="1"/>
  <c r="I23" i="16"/>
  <c r="K23" i="16" s="1"/>
  <c r="I15" i="16"/>
  <c r="K15" i="16" s="1"/>
  <c r="I58" i="16"/>
  <c r="K58" i="16" s="1"/>
  <c r="L58" i="16" s="1"/>
  <c r="I68" i="16"/>
  <c r="K68" i="16" s="1"/>
  <c r="L68" i="16" s="1"/>
  <c r="I94" i="16"/>
  <c r="K94" i="16" s="1"/>
  <c r="I73" i="16"/>
  <c r="K73" i="16" s="1"/>
  <c r="L73" i="16" s="1"/>
  <c r="I61" i="16"/>
  <c r="K61" i="16" s="1"/>
  <c r="L61" i="16" s="1"/>
  <c r="I49" i="16"/>
  <c r="K49" i="16" s="1"/>
  <c r="I37" i="16"/>
  <c r="K37" i="16" s="1"/>
  <c r="I13" i="16"/>
  <c r="K13" i="16" s="1"/>
  <c r="I25" i="16"/>
  <c r="K25" i="16" s="1"/>
  <c r="L25" i="16" s="1"/>
  <c r="I57" i="16"/>
  <c r="K57" i="16" s="1"/>
  <c r="L57" i="16" s="1"/>
  <c r="I81" i="16"/>
  <c r="K81" i="16" s="1"/>
  <c r="L81" i="16" s="1"/>
  <c r="I18" i="16"/>
  <c r="K18" i="16" s="1"/>
  <c r="I98" i="16"/>
  <c r="K98" i="16" s="1"/>
  <c r="I12" i="16"/>
  <c r="K12" i="16" s="1"/>
  <c r="I22" i="16"/>
  <c r="K22" i="16" s="1"/>
  <c r="I56" i="16"/>
  <c r="K56" i="16" s="1"/>
  <c r="L56" i="16" s="1"/>
  <c r="I66" i="16"/>
  <c r="K66" i="16" s="1"/>
  <c r="L66" i="16" s="1"/>
  <c r="I21" i="16"/>
  <c r="K21" i="16" s="1"/>
  <c r="I42" i="16"/>
  <c r="K42" i="16" s="1"/>
  <c r="L42" i="16" s="1"/>
  <c r="I53" i="16"/>
  <c r="K53" i="16" s="1"/>
  <c r="I65" i="16"/>
  <c r="K65" i="16" s="1"/>
  <c r="L65" i="16" s="1"/>
  <c r="I77" i="16"/>
  <c r="K77" i="16" s="1"/>
  <c r="L77" i="16" s="1"/>
  <c r="I28" i="16"/>
  <c r="K28" i="16" s="1"/>
  <c r="L28" i="16" s="1"/>
  <c r="I60" i="16"/>
  <c r="K60" i="16" s="1"/>
  <c r="L60" i="16" s="1"/>
  <c r="I70" i="16"/>
  <c r="K70" i="16" s="1"/>
  <c r="L70" i="16" s="1"/>
  <c r="I27" i="16"/>
  <c r="K27" i="16" s="1"/>
  <c r="L27" i="16" s="1"/>
  <c r="I84" i="16"/>
  <c r="K84" i="16" s="1"/>
  <c r="I87" i="16"/>
  <c r="K87" i="16" s="1"/>
  <c r="L87" i="16" s="1"/>
  <c r="I2" i="16"/>
  <c r="K2" i="16" s="1"/>
  <c r="L2" i="16" s="1"/>
  <c r="I71" i="16"/>
  <c r="K71" i="16" s="1"/>
  <c r="L71" i="16" s="1"/>
  <c r="I47" i="16"/>
  <c r="K47" i="16" s="1"/>
  <c r="I33" i="16"/>
  <c r="K33" i="16" s="1"/>
  <c r="L33" i="16" s="1"/>
  <c r="I44" i="16"/>
  <c r="K44" i="16" s="1"/>
  <c r="L44" i="16" s="1"/>
  <c r="I52" i="16"/>
  <c r="K52" i="16" s="1"/>
  <c r="I40" i="16"/>
  <c r="K40" i="16" s="1"/>
  <c r="L40" i="16" s="1"/>
  <c r="I34" i="16"/>
  <c r="K34" i="16" s="1"/>
  <c r="L34" i="16" s="1"/>
  <c r="I45" i="16"/>
  <c r="K45" i="16" s="1"/>
  <c r="L45" i="16" s="1"/>
  <c r="I29" i="16"/>
  <c r="K29" i="16" s="1"/>
  <c r="I64" i="16"/>
  <c r="K64" i="16" s="1"/>
  <c r="L64" i="16" s="1"/>
  <c r="I102" i="16"/>
  <c r="K102" i="16" s="1"/>
  <c r="L102" i="16" s="1"/>
  <c r="I17" i="16"/>
  <c r="K17" i="16" s="1"/>
  <c r="I97" i="16"/>
  <c r="K97" i="16" s="1"/>
  <c r="L97" i="16" s="1"/>
  <c r="I92" i="16"/>
  <c r="K92" i="16" s="1"/>
  <c r="L92" i="16" s="1"/>
  <c r="I93" i="16"/>
  <c r="K93" i="16" s="1"/>
  <c r="L93" i="16" s="1"/>
  <c r="I79" i="16"/>
  <c r="K79" i="16" s="1"/>
  <c r="L79" i="16" s="1"/>
  <c r="I50" i="16"/>
  <c r="K50" i="16" s="1"/>
  <c r="I80" i="16"/>
  <c r="K80" i="16" s="1"/>
  <c r="L80" i="16" s="1"/>
  <c r="I36" i="16"/>
  <c r="K36" i="16" s="1"/>
  <c r="I104" i="16"/>
  <c r="K104" i="16" s="1"/>
  <c r="I85" i="16"/>
  <c r="K85" i="16" s="1"/>
  <c r="I51" i="16"/>
  <c r="K51" i="16" s="1"/>
  <c r="I39" i="16"/>
  <c r="K39" i="16" s="1"/>
  <c r="L39" i="16" s="1"/>
  <c r="I95" i="16"/>
  <c r="K95" i="16" s="1"/>
  <c r="L95" i="16" s="1"/>
  <c r="I3" i="16"/>
  <c r="K3" i="16" s="1"/>
  <c r="L3" i="16" s="1"/>
  <c r="I89" i="16"/>
  <c r="K89" i="16" s="1"/>
  <c r="L89" i="16" s="1"/>
  <c r="I82" i="16"/>
  <c r="K82" i="16" s="1"/>
  <c r="L82" i="16" s="1"/>
  <c r="I4" i="16"/>
  <c r="K4" i="16" s="1"/>
  <c r="L4" i="16" s="1"/>
  <c r="I96" i="16"/>
  <c r="K96" i="16" s="1"/>
  <c r="L96" i="16" s="1"/>
  <c r="I5" i="16"/>
  <c r="K5" i="16" s="1"/>
  <c r="L5" i="16" s="1"/>
  <c r="I63" i="16"/>
  <c r="K63" i="16" s="1"/>
  <c r="I75" i="16"/>
  <c r="K75" i="16" s="1"/>
  <c r="L75" i="16" s="1"/>
  <c r="I88" i="16"/>
  <c r="K88" i="16" s="1"/>
  <c r="I101" i="16"/>
  <c r="K101" i="16" s="1"/>
  <c r="L101" i="16" s="1"/>
  <c r="I62" i="16"/>
  <c r="K62" i="16" s="1"/>
  <c r="L62" i="16" s="1"/>
  <c r="I100" i="16"/>
  <c r="K100" i="16" s="1"/>
  <c r="L100" i="16" s="1"/>
  <c r="I74" i="16"/>
  <c r="K74" i="16" s="1"/>
  <c r="L74" i="16" s="1"/>
  <c r="I7" i="16"/>
  <c r="K7" i="16" s="1"/>
  <c r="L7" i="16" s="1"/>
  <c r="I83" i="16"/>
  <c r="K83" i="16" s="1"/>
  <c r="L83" i="16" s="1"/>
  <c r="I99" i="16"/>
  <c r="K99" i="16" s="1"/>
  <c r="L99" i="16" s="1"/>
  <c r="I26" i="16"/>
  <c r="K26" i="16" s="1"/>
  <c r="L26" i="16" s="1"/>
  <c r="I90" i="16"/>
  <c r="K90" i="16" s="1"/>
  <c r="I76" i="16"/>
  <c r="K76" i="16" s="1"/>
  <c r="L76" i="16" s="1"/>
  <c r="I48" i="16"/>
  <c r="K48" i="16" s="1"/>
  <c r="I41" i="16"/>
  <c r="K41" i="16" s="1"/>
  <c r="I38" i="16"/>
  <c r="K38" i="16" s="1"/>
  <c r="L38" i="16" s="1"/>
  <c r="I30" i="16"/>
  <c r="K30" i="16" s="1"/>
  <c r="L30" i="16" s="1"/>
  <c r="I86" i="16"/>
  <c r="K86" i="16" s="1"/>
  <c r="I78" i="16"/>
  <c r="K78" i="16" s="1"/>
  <c r="L78" i="16" s="1"/>
  <c r="I31" i="16"/>
  <c r="K31" i="16" s="1"/>
  <c r="L31" i="16" s="1"/>
  <c r="I19" i="16"/>
  <c r="K19" i="16" s="1"/>
  <c r="I103" i="16"/>
  <c r="K103" i="16" s="1"/>
  <c r="L103" i="16" s="1"/>
  <c r="I91" i="16"/>
  <c r="K91" i="16" s="1"/>
  <c r="I46" i="16"/>
  <c r="K46" i="16" s="1"/>
  <c r="I35" i="16"/>
  <c r="K35" i="16" s="1"/>
  <c r="L35" i="16" s="1"/>
  <c r="I6" i="16"/>
  <c r="K6" i="16" s="1"/>
  <c r="L6" i="16" s="1"/>
  <c r="I55" i="16"/>
  <c r="K55" i="16" s="1"/>
  <c r="L55" i="16" s="1"/>
  <c r="I43" i="16"/>
  <c r="K43" i="16" s="1"/>
  <c r="L43" i="16" s="1"/>
  <c r="I32" i="16"/>
  <c r="K32" i="16" s="1"/>
  <c r="L32" i="16" s="1"/>
  <c r="I20" i="16"/>
  <c r="K20" i="16" s="1"/>
  <c r="A4" i="8"/>
  <c r="A5" i="8"/>
  <c r="A6" i="8"/>
  <c r="A7" i="8" s="1"/>
  <c r="A8" i="8" s="1"/>
  <c r="A9" i="8" s="1"/>
  <c r="A3" i="8"/>
  <c r="A3" i="16"/>
  <c r="A4" i="16" s="1"/>
  <c r="A5" i="16" s="1"/>
  <c r="A6" i="16" s="1"/>
  <c r="A7" i="16" s="1"/>
  <c r="A8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H105" i="21"/>
  <c r="H104" i="21"/>
  <c r="H103" i="21"/>
  <c r="F373" i="6"/>
  <c r="G373" i="6"/>
  <c r="H373" i="6" s="1"/>
  <c r="F374" i="6"/>
  <c r="F375" i="6"/>
  <c r="G375" i="6"/>
  <c r="H375" i="6" s="1"/>
  <c r="F376" i="6"/>
  <c r="G376" i="6"/>
  <c r="H376" i="6" s="1"/>
  <c r="F377" i="6"/>
  <c r="G377" i="6"/>
  <c r="H377" i="6" s="1"/>
  <c r="F378" i="6"/>
  <c r="G378" i="6"/>
  <c r="H378" i="6" s="1"/>
  <c r="F379" i="6"/>
  <c r="G379" i="6"/>
  <c r="H379" i="6" s="1"/>
  <c r="F380" i="6"/>
  <c r="F381" i="6"/>
  <c r="G381" i="6"/>
  <c r="H381" i="6" s="1"/>
  <c r="F382" i="6"/>
  <c r="G382" i="6"/>
  <c r="H382" i="6" s="1"/>
  <c r="F383" i="6"/>
  <c r="G383" i="6"/>
  <c r="H383" i="6" s="1"/>
  <c r="F384" i="6"/>
  <c r="F385" i="6"/>
  <c r="G385" i="6"/>
  <c r="H385" i="6" s="1"/>
  <c r="F386" i="6"/>
  <c r="G386" i="6"/>
  <c r="H386" i="6" s="1"/>
  <c r="F387" i="6"/>
  <c r="F388" i="6"/>
  <c r="F389" i="6"/>
  <c r="F390" i="6"/>
  <c r="F391" i="6"/>
  <c r="F392" i="6"/>
  <c r="F393" i="6"/>
  <c r="F394" i="6"/>
  <c r="F395" i="6"/>
  <c r="G395" i="6"/>
  <c r="H395" i="6" s="1"/>
  <c r="F396" i="6"/>
  <c r="G396" i="6"/>
  <c r="H396" i="6" s="1"/>
  <c r="H56" i="2"/>
  <c r="A30" i="16" l="1"/>
  <c r="A31" i="16" s="1"/>
  <c r="A32" i="16" s="1"/>
  <c r="A33" i="16" s="1"/>
  <c r="A34" i="16" s="1"/>
  <c r="A35" i="16" s="1"/>
  <c r="A36" i="16" l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F256" i="6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/>
  <c r="A15" i="6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E26" i="4" s="1"/>
  <c r="A4" i="20"/>
  <c r="A5" i="20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" i="2"/>
  <c r="F48" i="6"/>
  <c r="F2" i="6"/>
  <c r="F3" i="6"/>
  <c r="F4" i="6"/>
  <c r="F5" i="6"/>
  <c r="F6" i="6"/>
  <c r="F7" i="6"/>
  <c r="E2" i="4" s="1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G352" i="6"/>
  <c r="H352" i="6" s="1"/>
  <c r="G353" i="6"/>
  <c r="H353" i="6" s="1"/>
  <c r="G354" i="6"/>
  <c r="H354" i="6" s="1"/>
  <c r="G355" i="6"/>
  <c r="H355" i="6" s="1"/>
  <c r="G359" i="6"/>
  <c r="H359" i="6" s="1"/>
  <c r="G360" i="6"/>
  <c r="H360" i="6" s="1"/>
  <c r="G361" i="6"/>
  <c r="H361" i="6" s="1"/>
  <c r="G364" i="6"/>
  <c r="H364" i="6" s="1"/>
  <c r="G370" i="6"/>
  <c r="H370" i="6" s="1"/>
  <c r="G371" i="6"/>
  <c r="H371" i="6" s="1"/>
  <c r="G372" i="6"/>
  <c r="H372" i="6" s="1"/>
  <c r="G394" i="6"/>
  <c r="H394" i="6" s="1"/>
  <c r="A3" i="5"/>
  <c r="A4" i="5" s="1"/>
  <c r="A5" i="5" s="1"/>
  <c r="A6" i="5" s="1"/>
  <c r="G341" i="6"/>
  <c r="H341" i="6" s="1"/>
  <c r="G343" i="6"/>
  <c r="H343" i="6" s="1"/>
  <c r="G346" i="6"/>
  <c r="H346" i="6" s="1"/>
  <c r="G347" i="6"/>
  <c r="H347" i="6" s="1"/>
  <c r="G348" i="6"/>
  <c r="H348" i="6" s="1"/>
  <c r="G350" i="6"/>
  <c r="H350" i="6" s="1"/>
  <c r="G351" i="6"/>
  <c r="H351" i="6" s="1"/>
  <c r="G322" i="6"/>
  <c r="H322" i="6" s="1"/>
  <c r="G328" i="6"/>
  <c r="H328" i="6" s="1"/>
  <c r="G329" i="6"/>
  <c r="H329" i="6" s="1"/>
  <c r="G330" i="6"/>
  <c r="H330" i="6" s="1"/>
  <c r="G331" i="6"/>
  <c r="H331" i="6" s="1"/>
  <c r="G332" i="6"/>
  <c r="H332" i="6" s="1"/>
  <c r="G333" i="6"/>
  <c r="H333" i="6" s="1"/>
  <c r="G334" i="6"/>
  <c r="H334" i="6" s="1"/>
  <c r="G335" i="6"/>
  <c r="H335" i="6" s="1"/>
  <c r="G336" i="6"/>
  <c r="H336" i="6" s="1"/>
  <c r="G338" i="6"/>
  <c r="H338" i="6" s="1"/>
  <c r="G340" i="6"/>
  <c r="H340" i="6" s="1"/>
  <c r="G292" i="6"/>
  <c r="H292" i="6" s="1"/>
  <c r="G297" i="6"/>
  <c r="H297" i="6" s="1"/>
  <c r="G302" i="6"/>
  <c r="H302" i="6" s="1"/>
  <c r="G303" i="6"/>
  <c r="H303" i="6" s="1"/>
  <c r="G304" i="6"/>
  <c r="H304" i="6" s="1"/>
  <c r="G305" i="6"/>
  <c r="H305" i="6" s="1"/>
  <c r="G306" i="6"/>
  <c r="H306" i="6" s="1"/>
  <c r="G308" i="6"/>
  <c r="H308" i="6" s="1"/>
  <c r="G311" i="6"/>
  <c r="H311" i="6" s="1"/>
  <c r="G312" i="6"/>
  <c r="H312" i="6" s="1"/>
  <c r="G313" i="6"/>
  <c r="H313" i="6" s="1"/>
  <c r="G314" i="6"/>
  <c r="H314" i="6" s="1"/>
  <c r="G317" i="6"/>
  <c r="H317" i="6" s="1"/>
  <c r="G319" i="6"/>
  <c r="H319" i="6" s="1"/>
  <c r="M17" i="16"/>
  <c r="L17" i="16" s="1"/>
  <c r="M11" i="16"/>
  <c r="L11" i="16" s="1"/>
  <c r="M9" i="16"/>
  <c r="L9" i="16" s="1"/>
  <c r="H102" i="2"/>
  <c r="H103" i="2"/>
  <c r="H104" i="2"/>
  <c r="H105" i="2"/>
  <c r="H101" i="2"/>
  <c r="H99" i="2"/>
  <c r="H100" i="2"/>
  <c r="H98" i="2"/>
  <c r="H96" i="2"/>
  <c r="H89" i="2"/>
  <c r="H80" i="2"/>
  <c r="H81" i="2"/>
  <c r="H82" i="2"/>
  <c r="H83" i="2"/>
  <c r="H84" i="2"/>
  <c r="H85" i="2"/>
  <c r="H86" i="2"/>
  <c r="H87" i="2"/>
  <c r="H88" i="2"/>
  <c r="H79" i="2"/>
  <c r="H71" i="2"/>
  <c r="H70" i="2"/>
  <c r="H67" i="2"/>
  <c r="H65" i="2"/>
  <c r="H64" i="2"/>
  <c r="H63" i="2"/>
  <c r="H61" i="2"/>
  <c r="H62" i="2"/>
  <c r="H60" i="2"/>
  <c r="H59" i="2"/>
  <c r="H58" i="2"/>
  <c r="H53" i="2"/>
  <c r="H54" i="2"/>
  <c r="H55" i="2"/>
  <c r="H57" i="2"/>
  <c r="H52" i="2"/>
  <c r="H45" i="2"/>
  <c r="H44" i="2"/>
  <c r="H42" i="2"/>
  <c r="H41" i="2"/>
  <c r="H34" i="2"/>
  <c r="H35" i="2"/>
  <c r="H36" i="2"/>
  <c r="H37" i="2"/>
  <c r="H33" i="2"/>
  <c r="H21" i="2"/>
  <c r="H22" i="2"/>
  <c r="H23" i="2"/>
  <c r="H24" i="2"/>
  <c r="H25" i="2"/>
  <c r="H20" i="2"/>
  <c r="H9" i="2"/>
  <c r="H10" i="2"/>
  <c r="H11" i="2"/>
  <c r="H12" i="2"/>
  <c r="H13" i="2"/>
  <c r="H14" i="2"/>
  <c r="H15" i="2"/>
  <c r="H16" i="2"/>
  <c r="H17" i="2"/>
  <c r="H18" i="2"/>
  <c r="H19" i="2"/>
  <c r="H8" i="2"/>
  <c r="H6" i="2"/>
  <c r="H5" i="2"/>
  <c r="H4" i="2"/>
  <c r="H2" i="2"/>
  <c r="H3" i="2"/>
  <c r="H26" i="2"/>
  <c r="H27" i="2"/>
  <c r="H28" i="2"/>
  <c r="H29" i="2"/>
  <c r="H30" i="2"/>
  <c r="H46" i="2"/>
  <c r="H47" i="2"/>
  <c r="H68" i="2"/>
  <c r="H69" i="2"/>
  <c r="H95" i="2"/>
  <c r="A87" i="16" l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4" i="2"/>
  <c r="C263" i="6"/>
  <c r="C148" i="7"/>
  <c r="C225" i="6"/>
  <c r="C382" i="6"/>
  <c r="D3" i="16"/>
  <c r="C249" i="6"/>
  <c r="C343" i="6"/>
  <c r="G5" i="5"/>
  <c r="G4" i="5"/>
  <c r="G3" i="5"/>
  <c r="G6" i="5"/>
  <c r="E8" i="4"/>
  <c r="E9" i="4"/>
  <c r="E3" i="4"/>
  <c r="E11" i="4"/>
  <c r="E10" i="4"/>
  <c r="E5" i="4"/>
  <c r="E4" i="4"/>
  <c r="E7" i="4"/>
  <c r="E6" i="4"/>
  <c r="E24" i="4"/>
  <c r="E23" i="4"/>
  <c r="E25" i="4"/>
  <c r="A7" i="5"/>
  <c r="G7" i="5" s="1"/>
  <c r="A3" i="6"/>
  <c r="G289" i="6"/>
  <c r="H289" i="6" s="1"/>
  <c r="G260" i="6"/>
  <c r="H260" i="6" s="1"/>
  <c r="G261" i="6"/>
  <c r="H261" i="6" s="1"/>
  <c r="G262" i="6"/>
  <c r="H262" i="6" s="1"/>
  <c r="G263" i="6"/>
  <c r="H263" i="6" s="1"/>
  <c r="G267" i="6"/>
  <c r="H267" i="6" s="1"/>
  <c r="G270" i="6"/>
  <c r="H270" i="6" s="1"/>
  <c r="G271" i="6"/>
  <c r="H271" i="6" s="1"/>
  <c r="G272" i="6"/>
  <c r="H272" i="6" s="1"/>
  <c r="G276" i="6"/>
  <c r="H276" i="6" s="1"/>
  <c r="G277" i="6"/>
  <c r="H277" i="6" s="1"/>
  <c r="G278" i="6"/>
  <c r="H278" i="6" s="1"/>
  <c r="G279" i="6"/>
  <c r="H279" i="6" s="1"/>
  <c r="G280" i="6"/>
  <c r="H280" i="6" s="1"/>
  <c r="G285" i="6"/>
  <c r="H285" i="6" s="1"/>
  <c r="G286" i="6"/>
  <c r="H286" i="6" s="1"/>
  <c r="G287" i="6"/>
  <c r="H287" i="6" s="1"/>
  <c r="G288" i="6"/>
  <c r="H288" i="6" s="1"/>
  <c r="A3" i="20"/>
  <c r="B2" i="2"/>
  <c r="G178" i="6"/>
  <c r="H178" i="6" s="1"/>
  <c r="G345" i="6"/>
  <c r="H345" i="6" s="1"/>
  <c r="G210" i="6"/>
  <c r="H210" i="6" s="1"/>
  <c r="A3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G15" i="6"/>
  <c r="H15" i="6" s="1"/>
  <c r="G16" i="6"/>
  <c r="H16" i="6" s="1"/>
  <c r="G17" i="6"/>
  <c r="H17" i="6" s="1"/>
  <c r="G20" i="6"/>
  <c r="H20" i="6" s="1"/>
  <c r="G21" i="6"/>
  <c r="H21" i="6" s="1"/>
  <c r="G26" i="6"/>
  <c r="H26" i="6" s="1"/>
  <c r="G30" i="6"/>
  <c r="H30" i="6" s="1"/>
  <c r="G34" i="6"/>
  <c r="H34" i="6" s="1"/>
  <c r="G37" i="6"/>
  <c r="H37" i="6" s="1"/>
  <c r="G40" i="6"/>
  <c r="H40" i="6" s="1"/>
  <c r="G42" i="6"/>
  <c r="H42" i="6" s="1"/>
  <c r="G43" i="6"/>
  <c r="H43" i="6" s="1"/>
  <c r="G45" i="6"/>
  <c r="H45" i="6" s="1"/>
  <c r="G50" i="6"/>
  <c r="H50" i="6" s="1"/>
  <c r="G51" i="6"/>
  <c r="H51" i="6" s="1"/>
  <c r="G65" i="6"/>
  <c r="H65" i="6" s="1"/>
  <c r="G68" i="6"/>
  <c r="H68" i="6" s="1"/>
  <c r="G73" i="6"/>
  <c r="H73" i="6" s="1"/>
  <c r="G76" i="6"/>
  <c r="H76" i="6" s="1"/>
  <c r="G77" i="6"/>
  <c r="H77" i="6" s="1"/>
  <c r="G80" i="6"/>
  <c r="H80" i="6" s="1"/>
  <c r="G82" i="6"/>
  <c r="H82" i="6" s="1"/>
  <c r="G85" i="6"/>
  <c r="H85" i="6" s="1"/>
  <c r="G90" i="6"/>
  <c r="H90" i="6" s="1"/>
  <c r="G96" i="6"/>
  <c r="H96" i="6" s="1"/>
  <c r="G99" i="6"/>
  <c r="H99" i="6" s="1"/>
  <c r="G101" i="6"/>
  <c r="H101" i="6" s="1"/>
  <c r="G102" i="6"/>
  <c r="H102" i="6" s="1"/>
  <c r="G107" i="6"/>
  <c r="H107" i="6" s="1"/>
  <c r="G108" i="6"/>
  <c r="H108" i="6" s="1"/>
  <c r="G113" i="6"/>
  <c r="H113" i="6" s="1"/>
  <c r="G116" i="6"/>
  <c r="H116" i="6" s="1"/>
  <c r="G118" i="6"/>
  <c r="H118" i="6" s="1"/>
  <c r="G126" i="6"/>
  <c r="H126" i="6" s="1"/>
  <c r="G129" i="6"/>
  <c r="H129" i="6" s="1"/>
  <c r="G134" i="6"/>
  <c r="H134" i="6" s="1"/>
  <c r="G148" i="6"/>
  <c r="H148" i="6" s="1"/>
  <c r="G149" i="6"/>
  <c r="H149" i="6" s="1"/>
  <c r="G153" i="6"/>
  <c r="H153" i="6" s="1"/>
  <c r="G159" i="6"/>
  <c r="H159" i="6" s="1"/>
  <c r="G177" i="6"/>
  <c r="H177" i="6" s="1"/>
  <c r="G179" i="6"/>
  <c r="H179" i="6" s="1"/>
  <c r="G188" i="6"/>
  <c r="H188" i="6" s="1"/>
  <c r="G193" i="6"/>
  <c r="H193" i="6" s="1"/>
  <c r="G194" i="6"/>
  <c r="H194" i="6" s="1"/>
  <c r="G195" i="6"/>
  <c r="H195" i="6" s="1"/>
  <c r="G200" i="6"/>
  <c r="H200" i="6" s="1"/>
  <c r="G208" i="6"/>
  <c r="H208" i="6" s="1"/>
  <c r="G217" i="6"/>
  <c r="H217" i="6" s="1"/>
  <c r="G219" i="6"/>
  <c r="H219" i="6" s="1"/>
  <c r="G221" i="6"/>
  <c r="H221" i="6" s="1"/>
  <c r="G223" i="6"/>
  <c r="H223" i="6" s="1"/>
  <c r="G225" i="6"/>
  <c r="H225" i="6" s="1"/>
  <c r="G226" i="6"/>
  <c r="H226" i="6" s="1"/>
  <c r="G227" i="6"/>
  <c r="H227" i="6" s="1"/>
  <c r="G228" i="6"/>
  <c r="H228" i="6" s="1"/>
  <c r="G229" i="6"/>
  <c r="H229" i="6" s="1"/>
  <c r="G231" i="6"/>
  <c r="H231" i="6" s="1"/>
  <c r="G232" i="6"/>
  <c r="H232" i="6" s="1"/>
  <c r="G234" i="6"/>
  <c r="H234" i="6" s="1"/>
  <c r="G235" i="6"/>
  <c r="H235" i="6" s="1"/>
  <c r="G238" i="6"/>
  <c r="H238" i="6" s="1"/>
  <c r="G239" i="6"/>
  <c r="H239" i="6" s="1"/>
  <c r="G240" i="6"/>
  <c r="H240" i="6" s="1"/>
  <c r="G244" i="6"/>
  <c r="H244" i="6" s="1"/>
  <c r="G245" i="6"/>
  <c r="H245" i="6" s="1"/>
  <c r="G246" i="6"/>
  <c r="H246" i="6" s="1"/>
  <c r="G247" i="6"/>
  <c r="H247" i="6" s="1"/>
  <c r="G248" i="6"/>
  <c r="H248" i="6" s="1"/>
  <c r="G249" i="6"/>
  <c r="H249" i="6" s="1"/>
  <c r="G250" i="6"/>
  <c r="H250" i="6" s="1"/>
  <c r="G251" i="6"/>
  <c r="H251" i="6" s="1"/>
  <c r="G252" i="6"/>
  <c r="H252" i="6" s="1"/>
  <c r="G253" i="6"/>
  <c r="H253" i="6" s="1"/>
  <c r="G254" i="6"/>
  <c r="H254" i="6" s="1"/>
  <c r="G255" i="6"/>
  <c r="H255" i="6" s="1"/>
  <c r="G256" i="6"/>
  <c r="H256" i="6" s="1"/>
  <c r="G257" i="6"/>
  <c r="H257" i="6" s="1"/>
  <c r="G259" i="6"/>
  <c r="H259" i="6" s="1"/>
  <c r="G5" i="6"/>
  <c r="H5" i="6" s="1"/>
  <c r="G7" i="6"/>
  <c r="H7" i="6" s="1"/>
  <c r="G9" i="6"/>
  <c r="H9" i="6" s="1"/>
  <c r="G13" i="6"/>
  <c r="H13" i="6" s="1"/>
  <c r="G2" i="6"/>
  <c r="H2" i="6" s="1"/>
  <c r="G44" i="6" l="1"/>
  <c r="H44" i="6" s="1"/>
  <c r="G268" i="6"/>
  <c r="H268" i="6" s="1"/>
  <c r="A31" i="7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G152" i="6"/>
  <c r="H152" i="6" s="1"/>
  <c r="G388" i="6"/>
  <c r="H388" i="6" s="1"/>
  <c r="G112" i="6"/>
  <c r="H112" i="6" s="1"/>
  <c r="G309" i="6"/>
  <c r="H309" i="6" s="1"/>
  <c r="I8" i="7"/>
  <c r="M88" i="16"/>
  <c r="L88" i="16" s="1"/>
  <c r="G190" i="6"/>
  <c r="H190" i="6" s="1"/>
  <c r="G132" i="6"/>
  <c r="H132" i="6" s="1"/>
  <c r="G100" i="6"/>
  <c r="H100" i="6" s="1"/>
  <c r="A5" i="2"/>
  <c r="C149" i="7"/>
  <c r="D4" i="16"/>
  <c r="G299" i="6"/>
  <c r="H299" i="6" s="1"/>
  <c r="G356" i="6"/>
  <c r="H356" i="6" s="1"/>
  <c r="G264" i="6"/>
  <c r="H264" i="6" s="1"/>
  <c r="G365" i="6"/>
  <c r="H365" i="6" s="1"/>
  <c r="G63" i="6"/>
  <c r="H63" i="6" s="1"/>
  <c r="G32" i="6"/>
  <c r="H32" i="6" s="1"/>
  <c r="G52" i="6"/>
  <c r="H52" i="6" s="1"/>
  <c r="G357" i="6"/>
  <c r="H357" i="6" s="1"/>
  <c r="G66" i="6"/>
  <c r="H66" i="6" s="1"/>
  <c r="G14" i="6"/>
  <c r="H14" i="6" s="1"/>
  <c r="G218" i="6"/>
  <c r="H218" i="6" s="1"/>
  <c r="G64" i="6"/>
  <c r="H64" i="6" s="1"/>
  <c r="G216" i="6"/>
  <c r="H216" i="6" s="1"/>
  <c r="G146" i="6"/>
  <c r="H146" i="6" s="1"/>
  <c r="G269" i="6"/>
  <c r="H269" i="6" s="1"/>
  <c r="G48" i="6"/>
  <c r="H48" i="6" s="1"/>
  <c r="G160" i="6"/>
  <c r="H160" i="6" s="1"/>
  <c r="G358" i="6"/>
  <c r="H358" i="6" s="1"/>
  <c r="G212" i="6"/>
  <c r="H212" i="6" s="1"/>
  <c r="G172" i="6"/>
  <c r="H172" i="6" s="1"/>
  <c r="G144" i="6"/>
  <c r="H144" i="6" s="1"/>
  <c r="G81" i="6"/>
  <c r="H81" i="6" s="1"/>
  <c r="G54" i="6"/>
  <c r="H54" i="6" s="1"/>
  <c r="G27" i="6"/>
  <c r="H27" i="6" s="1"/>
  <c r="G4" i="6"/>
  <c r="H4" i="6" s="1"/>
  <c r="G168" i="6"/>
  <c r="H168" i="6" s="1"/>
  <c r="G135" i="6"/>
  <c r="H135" i="6" s="1"/>
  <c r="G170" i="6"/>
  <c r="H170" i="6" s="1"/>
  <c r="G318" i="6"/>
  <c r="H318" i="6" s="1"/>
  <c r="G2" i="10"/>
  <c r="H2" i="10" s="1"/>
  <c r="G236" i="6"/>
  <c r="H236" i="6" s="1"/>
  <c r="G11" i="6"/>
  <c r="H11" i="6" s="1"/>
  <c r="G207" i="6"/>
  <c r="H207" i="6" s="1"/>
  <c r="G166" i="6"/>
  <c r="H166" i="6" s="1"/>
  <c r="G78" i="6"/>
  <c r="H78" i="6" s="1"/>
  <c r="G23" i="6"/>
  <c r="H23" i="6" s="1"/>
  <c r="E22" i="4"/>
  <c r="G62" i="6"/>
  <c r="H62" i="6" s="1"/>
  <c r="G164" i="6"/>
  <c r="H164" i="6" s="1"/>
  <c r="G139" i="6"/>
  <c r="H139" i="6" s="1"/>
  <c r="G74" i="6"/>
  <c r="H74" i="6" s="1"/>
  <c r="G189" i="6"/>
  <c r="H189" i="6" s="1"/>
  <c r="G94" i="6"/>
  <c r="H94" i="6" s="1"/>
  <c r="G47" i="6"/>
  <c r="H47" i="6" s="1"/>
  <c r="G25" i="6"/>
  <c r="H25" i="6" s="1"/>
  <c r="G86" i="6"/>
  <c r="H86" i="6" s="1"/>
  <c r="G185" i="6"/>
  <c r="H185" i="6" s="1"/>
  <c r="G284" i="6"/>
  <c r="H284" i="6" s="1"/>
  <c r="G186" i="6"/>
  <c r="H186" i="6" s="1"/>
  <c r="G181" i="6"/>
  <c r="H181" i="6" s="1"/>
  <c r="G291" i="6"/>
  <c r="H291" i="6" s="1"/>
  <c r="G342" i="6"/>
  <c r="H342" i="6" s="1"/>
  <c r="G169" i="6"/>
  <c r="H169" i="6" s="1"/>
  <c r="G211" i="6"/>
  <c r="H211" i="6" s="1"/>
  <c r="G92" i="6"/>
  <c r="H92" i="6" s="1"/>
  <c r="G58" i="6"/>
  <c r="H58" i="6" s="1"/>
  <c r="G121" i="6"/>
  <c r="H121" i="6" s="1"/>
  <c r="G35" i="6"/>
  <c r="H35" i="6" s="1"/>
  <c r="G141" i="6"/>
  <c r="H141" i="6" s="1"/>
  <c r="G89" i="6"/>
  <c r="H89" i="6" s="1"/>
  <c r="G71" i="6"/>
  <c r="H71" i="6" s="1"/>
  <c r="G224" i="6"/>
  <c r="H224" i="6" s="1"/>
  <c r="G203" i="6"/>
  <c r="H203" i="6" s="1"/>
  <c r="G140" i="6"/>
  <c r="H140" i="6" s="1"/>
  <c r="G69" i="6"/>
  <c r="H69" i="6" s="1"/>
  <c r="G33" i="6"/>
  <c r="H33" i="6" s="1"/>
  <c r="G136" i="6"/>
  <c r="H136" i="6" s="1"/>
  <c r="G28" i="6"/>
  <c r="H28" i="6" s="1"/>
  <c r="G192" i="6"/>
  <c r="H192" i="6" s="1"/>
  <c r="G323" i="6"/>
  <c r="H323" i="6" s="1"/>
  <c r="G307" i="6"/>
  <c r="H307" i="6" s="1"/>
  <c r="G97" i="6"/>
  <c r="H97" i="6" s="1"/>
  <c r="G154" i="6"/>
  <c r="H154" i="6" s="1"/>
  <c r="G295" i="6"/>
  <c r="H295" i="6" s="1"/>
  <c r="G324" i="6"/>
  <c r="H324" i="6" s="1"/>
  <c r="G290" i="6"/>
  <c r="H290" i="6" s="1"/>
  <c r="A8" i="5"/>
  <c r="G8" i="5" s="1"/>
  <c r="G46" i="6"/>
  <c r="H46" i="6" s="1"/>
  <c r="G60" i="6"/>
  <c r="H60" i="6" s="1"/>
  <c r="G220" i="6"/>
  <c r="H220" i="6" s="1"/>
  <c r="G125" i="6"/>
  <c r="H125" i="6" s="1"/>
  <c r="G157" i="6"/>
  <c r="H157" i="6" s="1"/>
  <c r="G173" i="6"/>
  <c r="H173" i="6" s="1"/>
  <c r="A123" i="7" l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C232" i="6"/>
  <c r="C256" i="6"/>
  <c r="C304" i="6"/>
  <c r="C364" i="6"/>
  <c r="C329" i="6"/>
  <c r="C378" i="6"/>
  <c r="D5" i="16"/>
  <c r="C150" i="7"/>
  <c r="C261" i="6"/>
  <c r="A9" i="5"/>
  <c r="E21" i="4" l="1"/>
  <c r="A10" i="5"/>
  <c r="M19" i="16"/>
  <c r="L19" i="16" s="1"/>
  <c r="M20" i="16"/>
  <c r="L20" i="16" s="1"/>
  <c r="M21" i="16"/>
  <c r="L21" i="16" s="1"/>
  <c r="M22" i="16"/>
  <c r="L22" i="16" s="1"/>
  <c r="M98" i="16"/>
  <c r="L98" i="16" s="1"/>
  <c r="H104" i="18"/>
  <c r="F104" i="18"/>
  <c r="I104" i="18" s="1"/>
  <c r="H103" i="18"/>
  <c r="F103" i="18"/>
  <c r="H102" i="18"/>
  <c r="F102" i="18"/>
  <c r="H101" i="18"/>
  <c r="F101" i="18"/>
  <c r="H100" i="18"/>
  <c r="F100" i="18"/>
  <c r="H99" i="18"/>
  <c r="F99" i="18"/>
  <c r="H98" i="18"/>
  <c r="F98" i="18"/>
  <c r="I98" i="18" s="1"/>
  <c r="H97" i="18"/>
  <c r="F97" i="18"/>
  <c r="H96" i="18"/>
  <c r="F96" i="18"/>
  <c r="I96" i="18" s="1"/>
  <c r="H95" i="18"/>
  <c r="F95" i="18"/>
  <c r="H94" i="18"/>
  <c r="F94" i="18"/>
  <c r="H92" i="18"/>
  <c r="F92" i="18"/>
  <c r="H91" i="18"/>
  <c r="F91" i="18"/>
  <c r="I91" i="18" s="1"/>
  <c r="H90" i="18"/>
  <c r="F90" i="18"/>
  <c r="H89" i="18"/>
  <c r="F89" i="18"/>
  <c r="I89" i="18" s="1"/>
  <c r="H88" i="18"/>
  <c r="F88" i="18"/>
  <c r="H87" i="18"/>
  <c r="F87" i="18"/>
  <c r="H86" i="18"/>
  <c r="F86" i="18"/>
  <c r="H85" i="18"/>
  <c r="F85" i="18"/>
  <c r="I85" i="18" s="1"/>
  <c r="H84" i="18"/>
  <c r="F84" i="18"/>
  <c r="H83" i="18"/>
  <c r="F83" i="18"/>
  <c r="I83" i="18" s="1"/>
  <c r="H82" i="18"/>
  <c r="F82" i="18"/>
  <c r="H81" i="18"/>
  <c r="F81" i="18"/>
  <c r="H80" i="18"/>
  <c r="F80" i="18"/>
  <c r="H79" i="18"/>
  <c r="F79" i="18"/>
  <c r="I79" i="18" s="1"/>
  <c r="H78" i="18"/>
  <c r="F78" i="18"/>
  <c r="H77" i="18"/>
  <c r="F77" i="18"/>
  <c r="I77" i="18" s="1"/>
  <c r="H76" i="18"/>
  <c r="F76" i="18"/>
  <c r="H75" i="18"/>
  <c r="F75" i="18"/>
  <c r="H74" i="18"/>
  <c r="F74" i="18"/>
  <c r="H73" i="18"/>
  <c r="F73" i="18"/>
  <c r="I73" i="18" s="1"/>
  <c r="H72" i="18"/>
  <c r="F72" i="18"/>
  <c r="H71" i="18"/>
  <c r="F71" i="18"/>
  <c r="I71" i="18" s="1"/>
  <c r="H70" i="18"/>
  <c r="F70" i="18"/>
  <c r="H69" i="18"/>
  <c r="F69" i="18"/>
  <c r="H68" i="18"/>
  <c r="I68" i="18" s="1"/>
  <c r="H67" i="18"/>
  <c r="I67" i="18" s="1"/>
  <c r="H66" i="18"/>
  <c r="I66" i="18" s="1"/>
  <c r="L65" i="18"/>
  <c r="H65" i="18"/>
  <c r="I65" i="18" s="1"/>
  <c r="H64" i="18"/>
  <c r="I64" i="18" s="1"/>
  <c r="H63" i="18"/>
  <c r="I63" i="18" s="1"/>
  <c r="H62" i="18"/>
  <c r="I62" i="18" s="1"/>
  <c r="H61" i="18"/>
  <c r="I61" i="18" s="1"/>
  <c r="H60" i="18"/>
  <c r="I60" i="18" s="1"/>
  <c r="H59" i="18"/>
  <c r="I59" i="18" s="1"/>
  <c r="H58" i="18"/>
  <c r="I58" i="18" s="1"/>
  <c r="H57" i="18"/>
  <c r="I57" i="18" s="1"/>
  <c r="H56" i="18"/>
  <c r="I56" i="18" s="1"/>
  <c r="H55" i="18"/>
  <c r="I55" i="18" s="1"/>
  <c r="H54" i="18"/>
  <c r="I54" i="18" s="1"/>
  <c r="H53" i="18"/>
  <c r="I53" i="18" s="1"/>
  <c r="H52" i="18"/>
  <c r="I52" i="18" s="1"/>
  <c r="H51" i="18"/>
  <c r="I51" i="18" s="1"/>
  <c r="H50" i="18"/>
  <c r="I50" i="18" s="1"/>
  <c r="H49" i="18"/>
  <c r="I49" i="18" s="1"/>
  <c r="H48" i="18"/>
  <c r="I48" i="18" s="1"/>
  <c r="H47" i="18"/>
  <c r="I47" i="18" s="1"/>
  <c r="H46" i="18"/>
  <c r="I46" i="18" s="1"/>
  <c r="H45" i="18"/>
  <c r="I45" i="18" s="1"/>
  <c r="H44" i="18"/>
  <c r="I44" i="18" s="1"/>
  <c r="H43" i="18"/>
  <c r="I43" i="18" s="1"/>
  <c r="H42" i="18"/>
  <c r="I42" i="18" s="1"/>
  <c r="H41" i="18"/>
  <c r="I41" i="18" s="1"/>
  <c r="H40" i="18"/>
  <c r="I40" i="18" s="1"/>
  <c r="H39" i="18"/>
  <c r="I39" i="18" s="1"/>
  <c r="H38" i="18"/>
  <c r="I38" i="18" s="1"/>
  <c r="H37" i="18"/>
  <c r="F37" i="18"/>
  <c r="H36" i="18"/>
  <c r="I36" i="18" s="1"/>
  <c r="H35" i="18"/>
  <c r="I35" i="18" s="1"/>
  <c r="H34" i="18"/>
  <c r="F34" i="18"/>
  <c r="H33" i="18"/>
  <c r="F33" i="18"/>
  <c r="I32" i="18"/>
  <c r="G32" i="18"/>
  <c r="I31" i="18"/>
  <c r="G31" i="18"/>
  <c r="I30" i="18"/>
  <c r="G30" i="18"/>
  <c r="I29" i="18"/>
  <c r="G29" i="18"/>
  <c r="I28" i="18"/>
  <c r="G28" i="18"/>
  <c r="I27" i="18"/>
  <c r="G27" i="18"/>
  <c r="I26" i="18"/>
  <c r="G26" i="18"/>
  <c r="I25" i="18"/>
  <c r="G25" i="18"/>
  <c r="I24" i="18"/>
  <c r="G24" i="18"/>
  <c r="I23" i="18"/>
  <c r="G23" i="18"/>
  <c r="I22" i="18"/>
  <c r="G22" i="18"/>
  <c r="I21" i="18"/>
  <c r="G21" i="18"/>
  <c r="I20" i="18"/>
  <c r="G20" i="18"/>
  <c r="I19" i="18"/>
  <c r="G19" i="18"/>
  <c r="I18" i="18"/>
  <c r="G18" i="18"/>
  <c r="I17" i="18"/>
  <c r="G17" i="18"/>
  <c r="I16" i="18"/>
  <c r="G16" i="18"/>
  <c r="D16" i="18"/>
  <c r="I15" i="18"/>
  <c r="G15" i="18"/>
  <c r="D15" i="18"/>
  <c r="G14" i="18"/>
  <c r="F14" i="18"/>
  <c r="I14" i="18" s="1"/>
  <c r="I13" i="18"/>
  <c r="D13" i="18"/>
  <c r="G13" i="18" s="1"/>
  <c r="I12" i="18"/>
  <c r="D12" i="18"/>
  <c r="G12" i="18" s="1"/>
  <c r="I11" i="18"/>
  <c r="D11" i="18"/>
  <c r="G11" i="18" s="1"/>
  <c r="G10" i="18"/>
  <c r="F10" i="18"/>
  <c r="I10" i="18" s="1"/>
  <c r="H9" i="18"/>
  <c r="F9" i="18"/>
  <c r="H8" i="18"/>
  <c r="F8" i="18"/>
  <c r="H7" i="18"/>
  <c r="F7" i="18"/>
  <c r="H6" i="18"/>
  <c r="F6" i="18"/>
  <c r="H5" i="18"/>
  <c r="F5" i="18"/>
  <c r="H4" i="18"/>
  <c r="F4" i="18"/>
  <c r="H3" i="18"/>
  <c r="F3" i="18"/>
  <c r="I3" i="18" s="1"/>
  <c r="H2" i="18"/>
  <c r="F2" i="18"/>
  <c r="G369" i="6" l="1"/>
  <c r="H369" i="6" s="1"/>
  <c r="M24" i="16"/>
  <c r="L24" i="16" s="1"/>
  <c r="M29" i="16"/>
  <c r="L29" i="16" s="1"/>
  <c r="G391" i="6"/>
  <c r="H391" i="6" s="1"/>
  <c r="G230" i="6"/>
  <c r="H230" i="6" s="1"/>
  <c r="M23" i="16"/>
  <c r="L23" i="16" s="1"/>
  <c r="C11" i="7"/>
  <c r="D9" i="10"/>
  <c r="D7" i="16"/>
  <c r="C16" i="6"/>
  <c r="D6" i="16"/>
  <c r="C247" i="6"/>
  <c r="C111" i="7"/>
  <c r="C43" i="6"/>
  <c r="C26" i="6"/>
  <c r="E20" i="4"/>
  <c r="G349" i="6"/>
  <c r="H349" i="6" s="1"/>
  <c r="G274" i="6"/>
  <c r="H274" i="6" s="1"/>
  <c r="A11" i="5"/>
  <c r="I8" i="18"/>
  <c r="I2" i="18"/>
  <c r="I7" i="18"/>
  <c r="I37" i="18"/>
  <c r="I69" i="18"/>
  <c r="I75" i="18"/>
  <c r="I81" i="18"/>
  <c r="I87" i="18"/>
  <c r="I94" i="18"/>
  <c r="I100" i="18"/>
  <c r="I86" i="18"/>
  <c r="I72" i="18"/>
  <c r="I78" i="18"/>
  <c r="I84" i="18"/>
  <c r="I90" i="18"/>
  <c r="I97" i="18"/>
  <c r="I103" i="18"/>
  <c r="I4" i="18"/>
  <c r="I33" i="18"/>
  <c r="I74" i="18"/>
  <c r="I80" i="18"/>
  <c r="I92" i="18"/>
  <c r="I99" i="18"/>
  <c r="I5" i="18"/>
  <c r="I34" i="18"/>
  <c r="I6" i="18"/>
  <c r="I70" i="18"/>
  <c r="I76" i="18"/>
  <c r="I82" i="18"/>
  <c r="I88" i="18"/>
  <c r="I95" i="18"/>
  <c r="I101" i="18"/>
  <c r="I102" i="18"/>
  <c r="I9" i="18"/>
  <c r="C107" i="7" l="1"/>
  <c r="C330" i="6"/>
  <c r="C221" i="6"/>
  <c r="C240" i="6"/>
  <c r="C372" i="6"/>
  <c r="C267" i="6"/>
  <c r="A12" i="5"/>
  <c r="M8" i="1"/>
  <c r="M5" i="1"/>
  <c r="M6" i="1"/>
  <c r="L20" i="1"/>
  <c r="M20" i="1"/>
  <c r="C47" i="7" l="1"/>
  <c r="C191" i="6"/>
  <c r="C215" i="6"/>
  <c r="C198" i="6"/>
  <c r="C282" i="6"/>
  <c r="C137" i="6"/>
  <c r="C162" i="6"/>
  <c r="D8" i="16"/>
  <c r="C98" i="6"/>
  <c r="C77" i="7"/>
  <c r="C66" i="7"/>
  <c r="C123" i="6"/>
  <c r="C380" i="6"/>
  <c r="C94" i="7"/>
  <c r="C337" i="6"/>
  <c r="C367" i="6"/>
  <c r="C111" i="6"/>
  <c r="C60" i="7"/>
  <c r="C130" i="6"/>
  <c r="C151" i="6"/>
  <c r="C243" i="6"/>
  <c r="C300" i="6"/>
  <c r="C175" i="6"/>
  <c r="E19" i="4"/>
  <c r="E18" i="4"/>
  <c r="A13" i="5"/>
  <c r="M22" i="1"/>
  <c r="M26" i="1" s="1"/>
  <c r="A14" i="5" l="1"/>
  <c r="G14" i="5" s="1"/>
  <c r="M53" i="16"/>
  <c r="L53" i="16" s="1"/>
  <c r="M85" i="16"/>
  <c r="L85" i="16" s="1"/>
  <c r="E16" i="4"/>
  <c r="M104" i="16" l="1"/>
  <c r="L104" i="16" s="1"/>
  <c r="G389" i="6"/>
  <c r="H389" i="6" s="1"/>
  <c r="C59" i="7"/>
  <c r="C167" i="7"/>
  <c r="C20" i="6"/>
  <c r="C68" i="6"/>
  <c r="C80" i="6"/>
  <c r="C397" i="6"/>
  <c r="C170" i="7"/>
  <c r="C119" i="6"/>
  <c r="C179" i="6"/>
  <c r="C19" i="7"/>
  <c r="C67" i="7"/>
  <c r="C91" i="7"/>
  <c r="C148" i="6"/>
  <c r="C208" i="6"/>
  <c r="C292" i="6"/>
  <c r="C30" i="6"/>
  <c r="C102" i="6"/>
  <c r="C32" i="7"/>
  <c r="C80" i="7"/>
  <c r="C45" i="7"/>
  <c r="C159" i="6"/>
  <c r="C200" i="6"/>
  <c r="C289" i="6"/>
  <c r="C254" i="6"/>
  <c r="C355" i="6"/>
  <c r="D9" i="16"/>
  <c r="C108" i="6"/>
  <c r="C49" i="7"/>
  <c r="C9" i="6"/>
  <c r="C188" i="6"/>
  <c r="C2" i="6"/>
  <c r="C53" i="7"/>
  <c r="C322" i="6"/>
  <c r="C134" i="6"/>
  <c r="C373" i="6"/>
  <c r="C51" i="6"/>
  <c r="C34" i="6"/>
  <c r="G368" i="6"/>
  <c r="H368" i="6" s="1"/>
  <c r="G326" i="6"/>
  <c r="H326" i="6" s="1"/>
  <c r="G293" i="6"/>
  <c r="H293" i="6" s="1"/>
  <c r="G275" i="6"/>
  <c r="H275" i="6" s="1"/>
  <c r="G13" i="5"/>
  <c r="E17" i="4"/>
  <c r="A15" i="5"/>
  <c r="G15" i="5" s="1"/>
  <c r="M12" i="16"/>
  <c r="L12" i="16" s="1"/>
  <c r="D95" i="7"/>
  <c r="M8" i="16"/>
  <c r="L8" i="16" s="1"/>
  <c r="M15" i="16"/>
  <c r="L15" i="16" s="1"/>
  <c r="M50" i="16"/>
  <c r="L50" i="16" s="1"/>
  <c r="M52" i="16"/>
  <c r="L52" i="16" s="1"/>
  <c r="M54" i="16"/>
  <c r="L54" i="16" s="1"/>
  <c r="M91" i="16"/>
  <c r="L91" i="16" s="1"/>
  <c r="M14" i="16"/>
  <c r="L14" i="16" s="1"/>
  <c r="M51" i="16"/>
  <c r="L51" i="16" s="1"/>
  <c r="G11" i="5"/>
  <c r="M90" i="16" l="1"/>
  <c r="L90" i="16" s="1"/>
  <c r="G79" i="6"/>
  <c r="H79" i="6" s="1"/>
  <c r="G120" i="6"/>
  <c r="H120" i="6" s="1"/>
  <c r="G103" i="6"/>
  <c r="H103" i="6" s="1"/>
  <c r="F95" i="7"/>
  <c r="C323" i="6"/>
  <c r="D10" i="16"/>
  <c r="C365" i="6"/>
  <c r="C253" i="6"/>
  <c r="C46" i="7"/>
  <c r="C264" i="6"/>
  <c r="C78" i="7"/>
  <c r="C192" i="6"/>
  <c r="C62" i="6"/>
  <c r="C46" i="6"/>
  <c r="C86" i="6"/>
  <c r="C385" i="6"/>
  <c r="C58" i="7"/>
  <c r="C18" i="7"/>
  <c r="C307" i="6"/>
  <c r="G12" i="5"/>
  <c r="A16" i="5"/>
  <c r="G16" i="5" s="1"/>
  <c r="A13" i="2" l="1"/>
  <c r="C398" i="6"/>
  <c r="C160" i="6"/>
  <c r="C280" i="6"/>
  <c r="C57" i="7"/>
  <c r="D11" i="16"/>
  <c r="C92" i="7"/>
  <c r="C149" i="6"/>
  <c r="C33" i="7"/>
  <c r="C54" i="6"/>
  <c r="C90" i="6"/>
  <c r="C168" i="7"/>
  <c r="C37" i="6"/>
  <c r="C290" i="6"/>
  <c r="C16" i="7"/>
  <c r="C193" i="6"/>
  <c r="C171" i="7"/>
  <c r="C386" i="6"/>
  <c r="C70" i="7"/>
  <c r="C212" i="6"/>
  <c r="C25" i="6"/>
  <c r="C207" i="6"/>
  <c r="C178" i="6"/>
  <c r="C358" i="6"/>
  <c r="C324" i="6"/>
  <c r="E15" i="4"/>
  <c r="A17" i="5"/>
  <c r="G17" i="5" s="1"/>
  <c r="M10" i="16"/>
  <c r="L10" i="16" s="1"/>
  <c r="G10" i="5" l="1"/>
  <c r="A14" i="2"/>
  <c r="C299" i="6"/>
  <c r="C383" i="6"/>
  <c r="C64" i="6"/>
  <c r="C76" i="6"/>
  <c r="C126" i="6"/>
  <c r="D12" i="16"/>
  <c r="C81" i="6"/>
  <c r="C144" i="6"/>
  <c r="C238" i="6"/>
  <c r="C189" i="6"/>
  <c r="C129" i="6"/>
  <c r="C51" i="7"/>
  <c r="C90" i="7"/>
  <c r="C146" i="6"/>
  <c r="C168" i="6"/>
  <c r="C13" i="7"/>
  <c r="C94" i="6"/>
  <c r="C14" i="6"/>
  <c r="C356" i="6"/>
  <c r="C63" i="7"/>
  <c r="A18" i="5"/>
  <c r="G18" i="5" s="1"/>
  <c r="E2" i="11"/>
  <c r="D2" i="11"/>
  <c r="C2" i="11"/>
  <c r="G384" i="6"/>
  <c r="H384" i="6" s="1"/>
  <c r="G316" i="6"/>
  <c r="H316" i="6" s="1"/>
  <c r="G387" i="6"/>
  <c r="H387" i="6" s="1"/>
  <c r="G258" i="6"/>
  <c r="H258" i="6" s="1"/>
  <c r="M16" i="16"/>
  <c r="L16" i="16" s="1"/>
  <c r="M18" i="16"/>
  <c r="L18" i="16" s="1"/>
  <c r="E14" i="4"/>
  <c r="E13" i="4"/>
  <c r="E126" i="6"/>
  <c r="F126" i="6" s="1"/>
  <c r="G362" i="6" l="1"/>
  <c r="H362" i="6" s="1"/>
  <c r="G393" i="6"/>
  <c r="H393" i="6" s="1"/>
  <c r="G392" i="6"/>
  <c r="H392" i="6" s="1"/>
  <c r="G310" i="6"/>
  <c r="H310" i="6" s="1"/>
  <c r="G315" i="6"/>
  <c r="H315" i="6" s="1"/>
  <c r="G273" i="6"/>
  <c r="H273" i="6" s="1"/>
  <c r="G366" i="6"/>
  <c r="H366" i="6" s="1"/>
  <c r="G390" i="6"/>
  <c r="H390" i="6" s="1"/>
  <c r="G8" i="10"/>
  <c r="H8" i="10" s="1"/>
  <c r="G374" i="6"/>
  <c r="H374" i="6" s="1"/>
  <c r="G201" i="6"/>
  <c r="H201" i="6" s="1"/>
  <c r="M84" i="16"/>
  <c r="L84" i="16" s="1"/>
  <c r="G367" i="6"/>
  <c r="H367" i="6" s="1"/>
  <c r="G380" i="6"/>
  <c r="H380" i="6" s="1"/>
  <c r="A15" i="2"/>
  <c r="C20" i="7"/>
  <c r="D13" i="16"/>
  <c r="C156" i="6"/>
  <c r="G55" i="6"/>
  <c r="H55" i="6" s="1"/>
  <c r="G104" i="6"/>
  <c r="H104" i="6" s="1"/>
  <c r="G91" i="6"/>
  <c r="H91" i="6" s="1"/>
  <c r="G298" i="6"/>
  <c r="H298" i="6" s="1"/>
  <c r="G67" i="6"/>
  <c r="H67" i="6" s="1"/>
  <c r="G8" i="6"/>
  <c r="H8" i="6" s="1"/>
  <c r="G167" i="6"/>
  <c r="H167" i="6" s="1"/>
  <c r="G180" i="6"/>
  <c r="H180" i="6" s="1"/>
  <c r="G117" i="6"/>
  <c r="H117" i="6" s="1"/>
  <c r="G199" i="6"/>
  <c r="H199" i="6" s="1"/>
  <c r="G38" i="6"/>
  <c r="H38" i="6" s="1"/>
  <c r="G143" i="6"/>
  <c r="H143" i="6" s="1"/>
  <c r="G281" i="6"/>
  <c r="H281" i="6" s="1"/>
  <c r="G325" i="6"/>
  <c r="H325" i="6" s="1"/>
  <c r="G109" i="6"/>
  <c r="H109" i="6" s="1"/>
  <c r="G128" i="6"/>
  <c r="H128" i="6" s="1"/>
  <c r="G339" i="6"/>
  <c r="H339" i="6" s="1"/>
  <c r="G363" i="6"/>
  <c r="H363" i="6" s="1"/>
  <c r="G9" i="5"/>
  <c r="E12" i="4"/>
  <c r="G296" i="6"/>
  <c r="H296" i="6" s="1"/>
  <c r="G320" i="6"/>
  <c r="H320" i="6" s="1"/>
  <c r="G265" i="6"/>
  <c r="H265" i="6" s="1"/>
  <c r="G321" i="6"/>
  <c r="H321" i="6" s="1"/>
  <c r="G294" i="6"/>
  <c r="H294" i="6" s="1"/>
  <c r="G344" i="6"/>
  <c r="H344" i="6" s="1"/>
  <c r="G266" i="6"/>
  <c r="H266" i="6" s="1"/>
  <c r="G337" i="6"/>
  <c r="H337" i="6" s="1"/>
  <c r="G300" i="6"/>
  <c r="H300" i="6" s="1"/>
  <c r="G282" i="6"/>
  <c r="H282" i="6" s="1"/>
  <c r="G301" i="6"/>
  <c r="H301" i="6" s="1"/>
  <c r="G327" i="6"/>
  <c r="H327" i="6" s="1"/>
  <c r="G283" i="6"/>
  <c r="H283" i="6" s="1"/>
  <c r="A19" i="5"/>
  <c r="G19" i="5" s="1"/>
  <c r="G87" i="6"/>
  <c r="H87" i="6" s="1"/>
  <c r="G205" i="6"/>
  <c r="H205" i="6" s="1"/>
  <c r="G241" i="6"/>
  <c r="H241" i="6" s="1"/>
  <c r="G39" i="6"/>
  <c r="H39" i="6" s="1"/>
  <c r="G196" i="6"/>
  <c r="H196" i="6" s="1"/>
  <c r="G174" i="6"/>
  <c r="H174" i="6" s="1"/>
  <c r="G56" i="6"/>
  <c r="H56" i="6" s="1"/>
  <c r="G214" i="6"/>
  <c r="H214" i="6" s="1"/>
  <c r="G95" i="6"/>
  <c r="H95" i="6" s="1"/>
  <c r="G72" i="6"/>
  <c r="H72" i="6" s="1"/>
  <c r="G61" i="6"/>
  <c r="H61" i="6" s="1"/>
  <c r="G124" i="6"/>
  <c r="H124" i="6" s="1"/>
  <c r="G165" i="6"/>
  <c r="H165" i="6" s="1"/>
  <c r="G237" i="6"/>
  <c r="H237" i="6" s="1"/>
  <c r="G70" i="6"/>
  <c r="H70" i="6" s="1"/>
  <c r="G142" i="6"/>
  <c r="H142" i="6" s="1"/>
  <c r="G83" i="6"/>
  <c r="H83" i="6" s="1"/>
  <c r="G171" i="6"/>
  <c r="H171" i="6" s="1"/>
  <c r="G10" i="6"/>
  <c r="H10" i="6" s="1"/>
  <c r="G53" i="6"/>
  <c r="H53" i="6" s="1"/>
  <c r="G24" i="6"/>
  <c r="H24" i="6" s="1"/>
  <c r="G36" i="6"/>
  <c r="H36" i="6" s="1"/>
  <c r="G133" i="6"/>
  <c r="H133" i="6" s="1"/>
  <c r="G145" i="6"/>
  <c r="H145" i="6" s="1"/>
  <c r="G122" i="6"/>
  <c r="H122" i="6" s="1"/>
  <c r="G158" i="6"/>
  <c r="H158" i="6" s="1"/>
  <c r="G29" i="6"/>
  <c r="H29" i="6" s="1"/>
  <c r="G114" i="6"/>
  <c r="H114" i="6" s="1"/>
  <c r="G222" i="6"/>
  <c r="H222" i="6" s="1"/>
  <c r="G187" i="6"/>
  <c r="H187" i="6" s="1"/>
  <c r="G3" i="6"/>
  <c r="H3" i="6" s="1"/>
  <c r="G84" i="6"/>
  <c r="H84" i="6" s="1"/>
  <c r="G204" i="6"/>
  <c r="H204" i="6" s="1"/>
  <c r="G233" i="6"/>
  <c r="H233" i="6" s="1"/>
  <c r="G138" i="6"/>
  <c r="H138" i="6" s="1"/>
  <c r="G150" i="6"/>
  <c r="H150" i="6" s="1"/>
  <c r="G176" i="6"/>
  <c r="H176" i="6" s="1"/>
  <c r="G183" i="6"/>
  <c r="H183" i="6" s="1"/>
  <c r="G110" i="6"/>
  <c r="H110" i="6" s="1"/>
  <c r="G242" i="6"/>
  <c r="H242" i="6" s="1"/>
  <c r="G88" i="6"/>
  <c r="H88" i="6" s="1"/>
  <c r="G184" i="6"/>
  <c r="H184" i="6" s="1"/>
  <c r="G209" i="6"/>
  <c r="H209" i="6" s="1"/>
  <c r="G12" i="6"/>
  <c r="H12" i="6" s="1"/>
  <c r="G41" i="6"/>
  <c r="H41" i="6" s="1"/>
  <c r="G163" i="6"/>
  <c r="H163" i="6" s="1"/>
  <c r="G31" i="6"/>
  <c r="H31" i="6" s="1"/>
  <c r="G57" i="6"/>
  <c r="H57" i="6" s="1"/>
  <c r="G105" i="6"/>
  <c r="H105" i="6" s="1"/>
  <c r="G202" i="6"/>
  <c r="H202" i="6" s="1"/>
  <c r="G22" i="6"/>
  <c r="H22" i="6" s="1"/>
  <c r="G131" i="6"/>
  <c r="H131" i="6" s="1"/>
  <c r="G155" i="6"/>
  <c r="H155" i="6" s="1"/>
  <c r="G6" i="6"/>
  <c r="H6" i="6" s="1"/>
  <c r="G111" i="6"/>
  <c r="H111" i="6" s="1"/>
  <c r="G123" i="6"/>
  <c r="H123" i="6" s="1"/>
  <c r="G243" i="6"/>
  <c r="H243" i="6" s="1"/>
  <c r="G137" i="6"/>
  <c r="H137" i="6" s="1"/>
  <c r="G98" i="6"/>
  <c r="H98" i="6" s="1"/>
  <c r="G162" i="6"/>
  <c r="H162" i="6" s="1"/>
  <c r="G198" i="6"/>
  <c r="H198" i="6" s="1"/>
  <c r="G151" i="6"/>
  <c r="H151" i="6" s="1"/>
  <c r="G175" i="6"/>
  <c r="H175" i="6" s="1"/>
  <c r="G130" i="6"/>
  <c r="H130" i="6" s="1"/>
  <c r="G191" i="6"/>
  <c r="H191" i="6" s="1"/>
  <c r="G215" i="6"/>
  <c r="H215" i="6" s="1"/>
  <c r="G75" i="6"/>
  <c r="H75" i="6" s="1"/>
  <c r="G197" i="6"/>
  <c r="H197" i="6" s="1"/>
  <c r="G49" i="6"/>
  <c r="H49" i="6" s="1"/>
  <c r="G182" i="6"/>
  <c r="H182" i="6" s="1"/>
  <c r="G206" i="6"/>
  <c r="H206" i="6" s="1"/>
  <c r="G18" i="6"/>
  <c r="H18" i="6" s="1"/>
  <c r="G19" i="6"/>
  <c r="H19" i="6" s="1"/>
  <c r="G93" i="6"/>
  <c r="H93" i="6" s="1"/>
  <c r="G213" i="6"/>
  <c r="H213" i="6" s="1"/>
  <c r="G59" i="6"/>
  <c r="H59" i="6" s="1"/>
  <c r="G2" i="11"/>
  <c r="A16" i="2" l="1"/>
  <c r="D14" i="16"/>
  <c r="C56" i="6"/>
  <c r="C95" i="6"/>
  <c r="C43" i="7"/>
  <c r="C196" i="6"/>
  <c r="C174" i="6"/>
  <c r="C85" i="7"/>
  <c r="C344" i="6"/>
  <c r="C393" i="6"/>
  <c r="C39" i="6"/>
  <c r="C362" i="6"/>
  <c r="C205" i="6"/>
  <c r="C241" i="6"/>
  <c r="C72" i="6"/>
  <c r="C87" i="6"/>
  <c r="C266" i="6"/>
  <c r="C214" i="6"/>
  <c r="A17" i="2" l="1"/>
  <c r="C83" i="6"/>
  <c r="C55" i="7"/>
  <c r="C124" i="6"/>
  <c r="C142" i="6"/>
  <c r="C237" i="6"/>
  <c r="C61" i="6"/>
  <c r="C165" i="6"/>
  <c r="C327" i="6"/>
  <c r="C301" i="6"/>
  <c r="C89" i="7"/>
  <c r="C283" i="6"/>
  <c r="D15" i="16"/>
  <c r="C366" i="6"/>
  <c r="C52" i="7"/>
  <c r="C70" i="6"/>
  <c r="C390" i="6"/>
  <c r="A18" i="2" l="1"/>
  <c r="C92" i="6"/>
  <c r="C50" i="7"/>
  <c r="C35" i="6"/>
  <c r="C71" i="6"/>
  <c r="C203" i="6"/>
  <c r="C399" i="6"/>
  <c r="C52" i="6"/>
  <c r="C342" i="6"/>
  <c r="C186" i="6"/>
  <c r="C141" i="6"/>
  <c r="C181" i="6"/>
  <c r="C121" i="6"/>
  <c r="C17" i="7"/>
  <c r="C291" i="6"/>
  <c r="D16" i="16"/>
  <c r="C169" i="6"/>
  <c r="C36" i="7"/>
  <c r="C211" i="6"/>
  <c r="C381" i="6"/>
  <c r="C54" i="7"/>
  <c r="C357" i="6"/>
  <c r="C13" i="6"/>
  <c r="C61" i="7"/>
  <c r="C97" i="6"/>
  <c r="A19" i="2" l="1"/>
  <c r="D17" i="16"/>
  <c r="C62" i="7"/>
  <c r="C79" i="7"/>
  <c r="C222" i="6"/>
  <c r="C44" i="7"/>
  <c r="C56" i="7"/>
  <c r="C29" i="6"/>
  <c r="C53" i="6"/>
  <c r="C93" i="7"/>
  <c r="C114" i="6"/>
  <c r="D8" i="10"/>
  <c r="C169" i="7"/>
  <c r="C37" i="7"/>
  <c r="C10" i="6"/>
  <c r="C133" i="6"/>
  <c r="C122" i="6"/>
  <c r="C172" i="7"/>
  <c r="C84" i="6"/>
  <c r="C145" i="6"/>
  <c r="C187" i="6"/>
  <c r="C204" i="6"/>
  <c r="C3" i="6"/>
  <c r="C171" i="6"/>
  <c r="C265" i="6"/>
  <c r="C320" i="6"/>
  <c r="C24" i="6"/>
  <c r="C296" i="6"/>
  <c r="C36" i="6"/>
  <c r="C158" i="6"/>
  <c r="C374" i="6"/>
  <c r="A20" i="2" l="1"/>
  <c r="C8" i="6"/>
  <c r="C104" i="6"/>
  <c r="C128" i="6"/>
  <c r="C143" i="6"/>
  <c r="C167" i="6"/>
  <c r="D18" i="16"/>
  <c r="C281" i="6"/>
  <c r="C64" i="7"/>
  <c r="C325" i="6"/>
  <c r="C38" i="6"/>
  <c r="C48" i="7"/>
  <c r="C67" i="6"/>
  <c r="C91" i="6"/>
  <c r="C75" i="7"/>
  <c r="C109" i="6"/>
  <c r="C298" i="6"/>
  <c r="C387" i="6"/>
  <c r="C55" i="6"/>
  <c r="C199" i="6"/>
  <c r="C180" i="6"/>
  <c r="C117" i="6"/>
  <c r="A21" i="2" l="1"/>
  <c r="D19" i="16"/>
  <c r="C100" i="7"/>
  <c r="A22" i="2" l="1"/>
  <c r="D20" i="16"/>
  <c r="C101" i="7"/>
  <c r="A23" i="2" l="1"/>
  <c r="D21" i="16"/>
  <c r="C102" i="7"/>
  <c r="A24" i="2" l="1"/>
  <c r="D22" i="16"/>
  <c r="C103" i="7"/>
  <c r="A25" i="2" l="1"/>
  <c r="C104" i="7"/>
  <c r="D23" i="16"/>
  <c r="C230" i="6"/>
  <c r="A26" i="2" l="1"/>
  <c r="D24" i="16"/>
  <c r="C105" i="7"/>
  <c r="C369" i="6"/>
  <c r="A27" i="2" l="1"/>
  <c r="D25" i="16"/>
  <c r="C142" i="7"/>
  <c r="C286" i="6"/>
  <c r="A28" i="2" l="1"/>
  <c r="D26" i="16"/>
  <c r="C312" i="6"/>
  <c r="C331" i="6"/>
  <c r="C157" i="7"/>
  <c r="A29" i="2" l="1"/>
  <c r="C158" i="7"/>
  <c r="D27" i="16"/>
  <c r="C250" i="6"/>
  <c r="C288" i="6"/>
  <c r="A30" i="2" l="1"/>
  <c r="C163" i="7"/>
  <c r="C352" i="6"/>
  <c r="D28" i="16"/>
  <c r="C346" i="6"/>
  <c r="C271" i="6"/>
  <c r="A31" i="2" l="1"/>
  <c r="D29" i="16"/>
  <c r="C274" i="6"/>
  <c r="C349" i="6"/>
  <c r="C391" i="6"/>
  <c r="C166" i="7"/>
  <c r="A32" i="2" l="1"/>
  <c r="C95" i="7"/>
  <c r="C65" i="7"/>
  <c r="C99" i="7"/>
  <c r="A33" i="2" l="1"/>
  <c r="D30" i="16"/>
  <c r="C255" i="6"/>
  <c r="C223" i="6"/>
  <c r="C114" i="7"/>
  <c r="C262" i="6"/>
  <c r="C303" i="6"/>
  <c r="A34" i="2" l="1"/>
  <c r="D31" i="16"/>
  <c r="C125" i="7"/>
  <c r="A35" i="2" l="1"/>
  <c r="C116" i="6"/>
  <c r="C311" i="6"/>
  <c r="C395" i="6"/>
  <c r="C40" i="6"/>
  <c r="C244" i="6"/>
  <c r="C340" i="6"/>
  <c r="D32" i="16"/>
  <c r="C17" i="6"/>
  <c r="C65" i="6"/>
  <c r="C126" i="7"/>
  <c r="C361" i="6"/>
  <c r="C21" i="6"/>
  <c r="C82" i="6"/>
  <c r="C219" i="6"/>
  <c r="C279" i="6"/>
  <c r="C96" i="6"/>
  <c r="C73" i="6"/>
  <c r="C118" i="6"/>
  <c r="A36" i="2" l="1"/>
  <c r="C127" i="7"/>
  <c r="D33" i="16"/>
  <c r="C259" i="6"/>
  <c r="C334" i="6"/>
  <c r="A37" i="2" l="1"/>
  <c r="A38" i="2" s="1"/>
  <c r="D34" i="16"/>
  <c r="C128" i="7"/>
  <c r="A39" i="2" l="1"/>
  <c r="D36" i="16"/>
  <c r="C27" i="7"/>
  <c r="C317" i="6"/>
  <c r="C341" i="6"/>
  <c r="C129" i="7"/>
  <c r="C15" i="6"/>
  <c r="C217" i="6"/>
  <c r="C50" i="6"/>
  <c r="C2" i="7"/>
  <c r="D35" i="16"/>
  <c r="C29" i="7" l="1"/>
  <c r="A40" i="2"/>
  <c r="D37" i="16"/>
  <c r="A41" i="2" l="1"/>
  <c r="C107" i="6"/>
  <c r="D38" i="16"/>
  <c r="C30" i="7"/>
  <c r="C137" i="7" l="1"/>
  <c r="D39" i="16"/>
  <c r="C396" i="6"/>
  <c r="A42" i="2"/>
  <c r="C227" i="6"/>
  <c r="A43" i="2" l="1"/>
  <c r="C239" i="6"/>
  <c r="C328" i="6"/>
  <c r="D40" i="16"/>
  <c r="C377" i="6"/>
  <c r="C138" i="7"/>
  <c r="A44" i="2" l="1"/>
  <c r="D3" i="10"/>
  <c r="D41" i="16"/>
  <c r="C25" i="7"/>
  <c r="A45" i="2" l="1"/>
  <c r="C246" i="6"/>
  <c r="D42" i="16"/>
  <c r="C144" i="7"/>
  <c r="A46" i="2" l="1"/>
  <c r="C376" i="6"/>
  <c r="C270" i="6"/>
  <c r="D43" i="16"/>
  <c r="C354" i="6"/>
  <c r="C332" i="6"/>
  <c r="C145" i="7"/>
  <c r="C353" i="6" l="1"/>
  <c r="C147" i="7"/>
  <c r="C260" i="6"/>
  <c r="A47" i="2"/>
  <c r="D44" i="16"/>
  <c r="C375" i="6"/>
  <c r="C333" i="6"/>
  <c r="A48" i="2" l="1"/>
  <c r="D45" i="16"/>
  <c r="C336" i="6"/>
  <c r="C156" i="7"/>
  <c r="C22" i="7" l="1"/>
  <c r="D4" i="10"/>
  <c r="D46" i="16"/>
  <c r="A49" i="2"/>
  <c r="A50" i="2" l="1"/>
  <c r="C24" i="7"/>
  <c r="D47" i="16"/>
  <c r="C26" i="7" l="1"/>
  <c r="A51" i="2"/>
  <c r="D48" i="16"/>
  <c r="D5" i="10"/>
  <c r="A52" i="2" l="1"/>
  <c r="D49" i="16"/>
  <c r="C21" i="7"/>
  <c r="A53" i="2" l="1"/>
  <c r="C166" i="6"/>
  <c r="C210" i="6"/>
  <c r="C39" i="7"/>
  <c r="C101" i="6"/>
  <c r="D50" i="16"/>
  <c r="C185" i="6"/>
  <c r="C236" i="6"/>
  <c r="C88" i="7"/>
  <c r="C10" i="7"/>
  <c r="C74" i="6"/>
  <c r="A54" i="2" l="1"/>
  <c r="C99" i="6"/>
  <c r="C33" i="6"/>
  <c r="C27" i="6"/>
  <c r="C41" i="7"/>
  <c r="C157" i="6"/>
  <c r="C77" i="6"/>
  <c r="C15" i="7"/>
  <c r="C7" i="6"/>
  <c r="C245" i="6"/>
  <c r="C269" i="6"/>
  <c r="C69" i="7"/>
  <c r="D2" i="10"/>
  <c r="D51" i="16"/>
  <c r="C60" i="6"/>
  <c r="C220" i="6"/>
  <c r="C6" i="7"/>
  <c r="C113" i="6"/>
  <c r="C388" i="6"/>
  <c r="C295" i="6"/>
  <c r="C135" i="6"/>
  <c r="C173" i="6"/>
  <c r="C48" i="6"/>
  <c r="C190" i="6"/>
  <c r="C132" i="6"/>
  <c r="C125" i="6"/>
  <c r="C154" i="6"/>
  <c r="C84" i="7"/>
  <c r="C316" i="6" l="1"/>
  <c r="C213" i="6"/>
  <c r="C197" i="6"/>
  <c r="C18" i="6"/>
  <c r="C19" i="6"/>
  <c r="C49" i="6"/>
  <c r="D52" i="16"/>
  <c r="C75" i="6"/>
  <c r="C34" i="7"/>
  <c r="A55" i="2"/>
  <c r="C87" i="7"/>
  <c r="C182" i="6"/>
  <c r="C40" i="7"/>
  <c r="C206" i="6"/>
  <c r="C93" i="6"/>
  <c r="C59" i="6"/>
  <c r="C35" i="7" l="1"/>
  <c r="C294" i="6"/>
  <c r="C12" i="6"/>
  <c r="C110" i="6"/>
  <c r="C83" i="7"/>
  <c r="C163" i="6"/>
  <c r="C321" i="6"/>
  <c r="C97" i="7"/>
  <c r="C38" i="7"/>
  <c r="C183" i="6"/>
  <c r="C57" i="6"/>
  <c r="C68" i="7"/>
  <c r="C131" i="6"/>
  <c r="C202" i="6"/>
  <c r="C155" i="6"/>
  <c r="C22" i="6"/>
  <c r="A56" i="2"/>
  <c r="C6" i="6"/>
  <c r="C41" i="6"/>
  <c r="C31" i="6"/>
  <c r="D53" i="16"/>
  <c r="C242" i="6"/>
  <c r="C209" i="6"/>
  <c r="C88" i="6"/>
  <c r="C105" i="6"/>
  <c r="C184" i="6"/>
  <c r="C384" i="6"/>
  <c r="C98" i="7" l="1"/>
  <c r="C275" i="6"/>
  <c r="D104" i="16"/>
  <c r="C293" i="6"/>
  <c r="A57" i="2"/>
  <c r="C389" i="6"/>
  <c r="C326" i="6"/>
  <c r="C368" i="6"/>
  <c r="A58" i="2" l="1"/>
  <c r="C318" i="6"/>
  <c r="C177" i="6"/>
  <c r="C44" i="6"/>
  <c r="C42" i="7"/>
  <c r="C5" i="6"/>
  <c r="C140" i="6"/>
  <c r="C58" i="6"/>
  <c r="D54" i="16"/>
  <c r="C152" i="6"/>
  <c r="C85" i="6"/>
  <c r="C69" i="6"/>
  <c r="C170" i="6"/>
  <c r="C100" i="6"/>
  <c r="C235" i="6"/>
  <c r="C86" i="7"/>
  <c r="C7" i="7"/>
  <c r="C195" i="6"/>
  <c r="C268" i="6"/>
  <c r="C28" i="6"/>
  <c r="C112" i="6"/>
  <c r="D55" i="16" l="1"/>
  <c r="C132" i="7"/>
  <c r="A59" i="2"/>
  <c r="A60" i="2" l="1"/>
  <c r="D56" i="16"/>
  <c r="C133" i="7"/>
  <c r="C277" i="6"/>
  <c r="C231" i="6"/>
  <c r="A61" i="2" l="1"/>
  <c r="D57" i="16"/>
  <c r="C134" i="7"/>
  <c r="A62" i="2" l="1"/>
  <c r="C135" i="7"/>
  <c r="D58" i="16"/>
  <c r="A63" i="2" l="1"/>
  <c r="C136" i="7"/>
  <c r="D59" i="16"/>
  <c r="A64" i="2" l="1"/>
  <c r="C139" i="7"/>
  <c r="D60" i="16"/>
  <c r="C313" i="6"/>
  <c r="C143" i="7" l="1"/>
  <c r="C350" i="6"/>
  <c r="C287" i="6"/>
  <c r="A65" i="2"/>
  <c r="D61" i="16"/>
  <c r="A66" i="2" l="1"/>
  <c r="C335" i="6"/>
  <c r="C151" i="7"/>
  <c r="D62" i="16"/>
  <c r="A67" i="2" l="1"/>
  <c r="D63" i="16"/>
  <c r="C28" i="7"/>
  <c r="D64" i="16" l="1"/>
  <c r="C159" i="7"/>
  <c r="A68" i="2"/>
  <c r="A69" i="2" l="1"/>
  <c r="D65" i="16"/>
  <c r="C160" i="7"/>
  <c r="A70" i="2" l="1"/>
  <c r="C161" i="7"/>
  <c r="D66" i="16"/>
  <c r="A71" i="2" l="1"/>
  <c r="D67" i="16"/>
  <c r="C165" i="7"/>
  <c r="A72" i="2" l="1"/>
  <c r="C164" i="7"/>
  <c r="D68" i="16"/>
  <c r="C338" i="6"/>
  <c r="C252" i="6"/>
  <c r="D69" i="16" l="1"/>
  <c r="C257" i="6"/>
  <c r="C108" i="7"/>
  <c r="C394" i="6"/>
  <c r="C76" i="7"/>
  <c r="A73" i="2"/>
  <c r="C4" i="6" l="1"/>
  <c r="C139" i="6"/>
  <c r="C172" i="6"/>
  <c r="C45" i="6"/>
  <c r="C89" i="6"/>
  <c r="C72" i="7"/>
  <c r="C66" i="6"/>
  <c r="C218" i="6"/>
  <c r="C32" i="6"/>
  <c r="C12" i="7"/>
  <c r="C284" i="6"/>
  <c r="C345" i="6"/>
  <c r="C164" i="6"/>
  <c r="C23" i="6"/>
  <c r="C216" i="6"/>
  <c r="C11" i="6"/>
  <c r="A74" i="2"/>
  <c r="D70" i="16"/>
  <c r="C109" i="7"/>
  <c r="C359" i="6" l="1"/>
  <c r="D71" i="16"/>
  <c r="C314" i="6"/>
  <c r="C379" i="6"/>
  <c r="A75" i="2"/>
  <c r="C110" i="7"/>
  <c r="C248" i="6"/>
  <c r="C309" i="6" l="1"/>
  <c r="C63" i="6"/>
  <c r="C194" i="6"/>
  <c r="C42" i="6"/>
  <c r="C8" i="7"/>
  <c r="C112" i="7"/>
  <c r="C136" i="6"/>
  <c r="D72" i="16"/>
  <c r="C224" i="6"/>
  <c r="C153" i="6"/>
  <c r="A76" i="2"/>
  <c r="C74" i="7"/>
  <c r="C78" i="6"/>
  <c r="C347" i="6" l="1"/>
  <c r="C370" i="6"/>
  <c r="C308" i="6"/>
  <c r="A77" i="2"/>
  <c r="D73" i="16"/>
  <c r="C113" i="7"/>
  <c r="C115" i="7" l="1"/>
  <c r="A78" i="2"/>
  <c r="D74" i="16"/>
  <c r="C272" i="6" l="1"/>
  <c r="C116" i="7"/>
  <c r="A79" i="2"/>
  <c r="C234" i="6"/>
  <c r="D75" i="16"/>
  <c r="C351" i="6"/>
  <c r="A80" i="2" l="1"/>
  <c r="C117" i="7"/>
  <c r="D76" i="16"/>
  <c r="C118" i="7" l="1"/>
  <c r="C5" i="7"/>
  <c r="A81" i="2"/>
  <c r="D77" i="16"/>
  <c r="D78" i="16" l="1"/>
  <c r="A82" i="2"/>
  <c r="C119" i="7"/>
  <c r="A83" i="2" l="1"/>
  <c r="D79" i="16"/>
  <c r="C229" i="6"/>
  <c r="C360" i="6"/>
  <c r="C251" i="6"/>
  <c r="C120" i="7"/>
  <c r="D80" i="16" l="1"/>
  <c r="A84" i="2"/>
  <c r="C121" i="7"/>
  <c r="A85" i="2" l="1"/>
  <c r="C297" i="6"/>
  <c r="C306" i="6"/>
  <c r="C122" i="7"/>
  <c r="D81" i="16"/>
  <c r="C176" i="6" l="1"/>
  <c r="C392" i="6"/>
  <c r="C363" i="6"/>
  <c r="C71" i="7"/>
  <c r="C150" i="6"/>
  <c r="C138" i="6"/>
  <c r="C233" i="6"/>
  <c r="C339" i="6"/>
  <c r="C310" i="6"/>
  <c r="A86" i="2"/>
  <c r="D82" i="16"/>
  <c r="C315" i="6"/>
  <c r="C273" i="6"/>
  <c r="C123" i="7"/>
  <c r="C371" i="6" l="1"/>
  <c r="C258" i="6"/>
  <c r="C226" i="6"/>
  <c r="C124" i="7"/>
  <c r="D83" i="16"/>
  <c r="A87" i="2"/>
  <c r="A88" i="2" s="1"/>
  <c r="A89" i="2" l="1"/>
  <c r="D85" i="16"/>
  <c r="C96" i="7"/>
  <c r="C73" i="7"/>
  <c r="D84" i="16"/>
  <c r="C201" i="6"/>
  <c r="A90" i="2" l="1"/>
  <c r="C9" i="7"/>
  <c r="C127" i="6"/>
  <c r="C106" i="6"/>
  <c r="C115" i="6"/>
  <c r="C161" i="6"/>
  <c r="D86" i="16"/>
  <c r="C147" i="6"/>
  <c r="C14" i="7" l="1"/>
  <c r="A91" i="2"/>
  <c r="C47" i="6"/>
  <c r="D87" i="16"/>
  <c r="D88" i="16" l="1"/>
  <c r="A92" i="2"/>
  <c r="C3" i="7"/>
  <c r="C4" i="7" l="1"/>
  <c r="A93" i="2"/>
  <c r="D89" i="16"/>
  <c r="D90" i="16" l="1"/>
  <c r="C120" i="6"/>
  <c r="C103" i="6"/>
  <c r="A94" i="2"/>
  <c r="C79" i="6"/>
  <c r="C82" i="7"/>
  <c r="A95" i="2" l="1"/>
  <c r="C81" i="7"/>
  <c r="D91" i="16"/>
  <c r="A96" i="2" l="1"/>
  <c r="C130" i="7"/>
  <c r="C302" i="6"/>
  <c r="D92" i="16"/>
  <c r="A97" i="2" l="1"/>
  <c r="C131" i="7"/>
  <c r="D7" i="10"/>
  <c r="D93" i="16"/>
  <c r="A98" i="2" l="1"/>
  <c r="D6" i="10"/>
  <c r="D94" i="16"/>
  <c r="C23" i="7"/>
  <c r="A99" i="2" l="1"/>
  <c r="C140" i="7"/>
  <c r="C276" i="6"/>
  <c r="D95" i="16"/>
  <c r="C319" i="6"/>
  <c r="C228" i="6" l="1"/>
  <c r="D96" i="16"/>
  <c r="A100" i="2"/>
  <c r="C141" i="7"/>
  <c r="C348" i="6" l="1"/>
  <c r="A101" i="2"/>
  <c r="C146" i="7"/>
  <c r="D97" i="16"/>
  <c r="C285" i="6"/>
  <c r="C106" i="7" l="1"/>
  <c r="A102" i="2"/>
  <c r="D98" i="16"/>
  <c r="A103" i="2" l="1"/>
  <c r="C152" i="7"/>
  <c r="D99" i="16"/>
  <c r="A104" i="2" l="1"/>
  <c r="D100" i="16"/>
  <c r="C278" i="6"/>
  <c r="C153" i="7"/>
  <c r="D101" i="16" l="1"/>
  <c r="A105" i="2"/>
  <c r="C154" i="7"/>
  <c r="C155" i="7" l="1"/>
  <c r="A106" i="2"/>
  <c r="D102" i="16"/>
  <c r="C31" i="7" l="1"/>
  <c r="D103" i="16"/>
  <c r="C305" i="6"/>
  <c r="I9" i="7" l="1"/>
  <c r="M86" i="16"/>
  <c r="L86" i="16" s="1"/>
  <c r="G115" i="6"/>
  <c r="H115" i="6" s="1"/>
  <c r="G106" i="6"/>
  <c r="H106" i="6" s="1"/>
  <c r="G147" i="6"/>
  <c r="H147" i="6" s="1"/>
  <c r="G127" i="6"/>
  <c r="H127" i="6" s="1"/>
  <c r="G9" i="7"/>
  <c r="G161" i="6"/>
  <c r="H161" i="6" s="1"/>
  <c r="M63" i="16"/>
  <c r="L63" i="16" s="1"/>
  <c r="M48" i="16"/>
  <c r="L48" i="16" s="1"/>
  <c r="M41" i="16"/>
  <c r="L41" i="16" s="1"/>
  <c r="M37" i="16"/>
  <c r="L37" i="16" s="1"/>
  <c r="G29" i="7"/>
  <c r="G28" i="7"/>
  <c r="G5" i="10"/>
  <c r="H5" i="10" s="1"/>
  <c r="G26" i="7"/>
  <c r="G3" i="10"/>
  <c r="H3" i="10" s="1"/>
  <c r="G25" i="7"/>
  <c r="M47" i="16"/>
  <c r="L47" i="16" s="1"/>
  <c r="G6" i="10"/>
  <c r="H6" i="10" s="1"/>
  <c r="M94" i="16"/>
  <c r="L94" i="16" s="1"/>
  <c r="G24" i="7"/>
  <c r="G23" i="7"/>
  <c r="M13" i="16"/>
  <c r="L13" i="16" s="1"/>
  <c r="G156" i="6"/>
  <c r="H156" i="6" s="1"/>
  <c r="G20" i="7"/>
  <c r="G21" i="7"/>
  <c r="M49" i="16"/>
  <c r="L49" i="16" s="1"/>
  <c r="M46" i="16"/>
  <c r="L46" i="16" s="1"/>
  <c r="G4" i="10"/>
  <c r="H4" i="10" s="1"/>
  <c r="G22" i="7"/>
  <c r="G2" i="5"/>
  <c r="I180" i="7"/>
  <c r="G27" i="7"/>
  <c r="M36" i="16"/>
  <c r="L36" i="16" s="1"/>
</calcChain>
</file>

<file path=xl/sharedStrings.xml><?xml version="1.0" encoding="utf-8"?>
<sst xmlns="http://schemas.openxmlformats.org/spreadsheetml/2006/main" count="2415" uniqueCount="426">
  <si>
    <t>produit_id (PK)</t>
  </si>
  <si>
    <t>INT</t>
  </si>
  <si>
    <t>code_produit</t>
  </si>
  <si>
    <t>VARCHAR</t>
  </si>
  <si>
    <t>nom_produit</t>
  </si>
  <si>
    <t>categorie</t>
  </si>
  <si>
    <t>unite</t>
  </si>
  <si>
    <t>stock_min</t>
  </si>
  <si>
    <t>date_creation</t>
  </si>
  <si>
    <t>DATE</t>
  </si>
  <si>
    <t>acheteur_id (PK)</t>
  </si>
  <si>
    <t>nom_acheteur</t>
  </si>
  <si>
    <t>Table PRODUITS</t>
  </si>
  <si>
    <t>Table ACHATS</t>
  </si>
  <si>
    <t>achat_id (PK)</t>
  </si>
  <si>
    <t>date_achat</t>
  </si>
  <si>
    <t>numero_facture</t>
  </si>
  <si>
    <t>acheteur_id (FK)</t>
  </si>
  <si>
    <t>frais_enlevement</t>
  </si>
  <si>
    <t>DECIMAL</t>
  </si>
  <si>
    <t>total_facture</t>
  </si>
  <si>
    <t>Table LIGNES_ACHAT</t>
  </si>
  <si>
    <t>ligne_achat_id (PK)</t>
  </si>
  <si>
    <t>achat_id (FK)</t>
  </si>
  <si>
    <t>produit_id (FK)</t>
  </si>
  <si>
    <t>quantite</t>
  </si>
  <si>
    <t>qte_bouteilles</t>
  </si>
  <si>
    <t>pu_achat</t>
  </si>
  <si>
    <t>total_achat</t>
  </si>
  <si>
    <t>Table VENTES</t>
  </si>
  <si>
    <t>vente_id (PK)</t>
  </si>
  <si>
    <t>date_vente</t>
  </si>
  <si>
    <t>DATETIME</t>
  </si>
  <si>
    <t>vendeur_id (FK)</t>
  </si>
  <si>
    <t>total_vente</t>
  </si>
  <si>
    <t>Table LIGNES_VENTE</t>
  </si>
  <si>
    <t>ligne_vente_id (PK)</t>
  </si>
  <si>
    <t>vente_id (FK)</t>
  </si>
  <si>
    <t>pu_vente</t>
  </si>
  <si>
    <t>montant_ligne</t>
  </si>
  <si>
    <t>Table DEPENSES</t>
  </si>
  <si>
    <t>depense_id (PK)</t>
  </si>
  <si>
    <t>date_depense</t>
  </si>
  <si>
    <t>motif</t>
  </si>
  <si>
    <t>montant</t>
  </si>
  <si>
    <t>Table ACHETEURS</t>
  </si>
  <si>
    <t>vendeur_id (PK)</t>
  </si>
  <si>
    <t>nom_vendeur</t>
  </si>
  <si>
    <t>Table VENDEURS</t>
  </si>
  <si>
    <t>Canette</t>
  </si>
  <si>
    <t>Jus</t>
  </si>
  <si>
    <t>Vin</t>
  </si>
  <si>
    <t>Eau</t>
  </si>
  <si>
    <t>qte_par_carton</t>
  </si>
  <si>
    <t>Bouteille</t>
  </si>
  <si>
    <t>Achille</t>
  </si>
  <si>
    <t>Salaire</t>
  </si>
  <si>
    <t>verre</t>
  </si>
  <si>
    <t>Taxi</t>
  </si>
  <si>
    <t>Charle</t>
  </si>
  <si>
    <t>qte_cartons</t>
  </si>
  <si>
    <t>Canal plus</t>
  </si>
  <si>
    <t>unité</t>
  </si>
  <si>
    <t>Consigne</t>
  </si>
  <si>
    <t>Détergent</t>
  </si>
  <si>
    <t>perte_id (PK)</t>
  </si>
  <si>
    <t>date_perte</t>
  </si>
  <si>
    <t>motif_perte</t>
  </si>
  <si>
    <t>valeur_unitaire</t>
  </si>
  <si>
    <t>valeur_totale</t>
  </si>
  <si>
    <t>utilisateur</t>
  </si>
  <si>
    <t>Table PRODUITS_PERDUS</t>
  </si>
  <si>
    <t>date_fabrication</t>
  </si>
  <si>
    <t>date_peremption</t>
  </si>
  <si>
    <t>qte_vente</t>
  </si>
  <si>
    <t>qte_perte</t>
  </si>
  <si>
    <t>pu_achat_piece</t>
  </si>
  <si>
    <t>TOTAL</t>
  </si>
  <si>
    <t>Caise Actuel</t>
  </si>
  <si>
    <t>Date</t>
  </si>
  <si>
    <t>Depart</t>
  </si>
  <si>
    <t>Entre</t>
  </si>
  <si>
    <t>Achat</t>
  </si>
  <si>
    <t>autre depence</t>
  </si>
  <si>
    <t>Details</t>
  </si>
  <si>
    <t>Spalte1</t>
  </si>
  <si>
    <t>canaplus</t>
  </si>
  <si>
    <t>Emballage</t>
  </si>
  <si>
    <t>Boisson_Gazeuse</t>
  </si>
  <si>
    <t>Boisson_Energisante</t>
  </si>
  <si>
    <t>Conserve</t>
  </si>
  <si>
    <t>Epicerie</t>
  </si>
  <si>
    <t>Pates</t>
  </si>
  <si>
    <t>Hygiene</t>
  </si>
  <si>
    <t>Entretien</t>
  </si>
  <si>
    <t>Tabac</t>
  </si>
  <si>
    <t>Confiserie</t>
  </si>
  <si>
    <t>Combustible</t>
  </si>
  <si>
    <t>Biscuits</t>
  </si>
  <si>
    <t>Fourniture</t>
  </si>
  <si>
    <t>Electricite</t>
  </si>
  <si>
    <t>Guinness_Biere</t>
  </si>
  <si>
    <t>Brasserie_Biere</t>
  </si>
  <si>
    <t>Pommade</t>
  </si>
  <si>
    <t>Bidon</t>
  </si>
  <si>
    <t>Pièce</t>
  </si>
  <si>
    <t>Paquet</t>
  </si>
  <si>
    <t>Paire</t>
  </si>
  <si>
    <t>Mux_Biere</t>
  </si>
  <si>
    <t>taxi</t>
  </si>
  <si>
    <t>mouvement_id</t>
  </si>
  <si>
    <t>date_mouvement</t>
  </si>
  <si>
    <t>date_id</t>
  </si>
  <si>
    <t>type_mouvement</t>
  </si>
  <si>
    <t>description</t>
  </si>
  <si>
    <t>jour</t>
  </si>
  <si>
    <t>mois</t>
  </si>
  <si>
    <t>annee</t>
  </si>
  <si>
    <t>trimestre</t>
  </si>
  <si>
    <t>nom_mois</t>
  </si>
  <si>
    <t>actif</t>
  </si>
  <si>
    <t>quantite_achat</t>
  </si>
  <si>
    <t>pu_achat_carton</t>
  </si>
  <si>
    <t>categorie_depense</t>
  </si>
  <si>
    <t>Apport</t>
  </si>
  <si>
    <t>Reste mois Mai</t>
  </si>
  <si>
    <t>Charly</t>
  </si>
  <si>
    <t>Reapprovisionnement initial de la boutique</t>
  </si>
  <si>
    <t>Girandoux</t>
  </si>
  <si>
    <t>20 chaise Prima</t>
  </si>
  <si>
    <t>Achil</t>
  </si>
  <si>
    <t>Immobilisation</t>
  </si>
  <si>
    <t>Paiement des employés</t>
  </si>
  <si>
    <t>Transport</t>
  </si>
  <si>
    <t>Abonnement</t>
  </si>
  <si>
    <t>Fournitures</t>
  </si>
  <si>
    <t>TRUE</t>
  </si>
  <si>
    <t>inventaire_id</t>
  </si>
  <si>
    <t>date_inventaire</t>
  </si>
  <si>
    <t>produit_id</t>
  </si>
  <si>
    <t>stock_theorique</t>
  </si>
  <si>
    <t>stock_physique</t>
  </si>
  <si>
    <t>ecart</t>
  </si>
  <si>
    <t>commentaire</t>
  </si>
  <si>
    <t>valeur_ecart</t>
  </si>
  <si>
    <t>cout_unitaire</t>
  </si>
  <si>
    <t>cout_total</t>
  </si>
  <si>
    <t>caburant</t>
  </si>
  <si>
    <t>achat</t>
  </si>
  <si>
    <t>photocopie et scaner</t>
  </si>
  <si>
    <t>photocopie</t>
  </si>
  <si>
    <t>reste</t>
  </si>
  <si>
    <t>depence</t>
  </si>
  <si>
    <t>complement rechargement boutique</t>
  </si>
  <si>
    <t xml:space="preserve">SAVON SANTEX BLANC 12X690G </t>
  </si>
  <si>
    <t xml:space="preserve">SAVON DAUPHIN CLASSIQUE 6X6X200G </t>
  </si>
  <si>
    <t>DETERGENT MADAR 25G Y156</t>
  </si>
  <si>
    <t>BROSSE COLGATE ANTICAVITY HANGER 12X12</t>
  </si>
  <si>
    <t xml:space="preserve">CIGARETTE ASPEN IX50 </t>
  </si>
  <si>
    <t xml:space="preserve">CIGARETTE BENSON 50X10 </t>
  </si>
  <si>
    <t>BRIQUET FLAG 20PQTX50</t>
  </si>
  <si>
    <t>CURENDENT PEACOCK 50X12</t>
  </si>
  <si>
    <t xml:space="preserve">NESCAFE COFFRET 9X1501 50 </t>
  </si>
  <si>
    <t>CIGARETTE TIME GRIS X5O</t>
  </si>
  <si>
    <t>LAIT TOP MIL VANILLE SACHET 6 X50</t>
  </si>
  <si>
    <t>BISCUIT PARLE G 4X60X14G</t>
  </si>
  <si>
    <t xml:space="preserve">BISCUIT PARLE G 31 56 3X120 </t>
  </si>
  <si>
    <t>PAPIER HYGIENIQUE SITA X48</t>
  </si>
  <si>
    <t>BISCUIT ABC X120</t>
  </si>
  <si>
    <t>DETERGENT BRIL 30GX150</t>
  </si>
  <si>
    <t xml:space="preserve">SAVON PROTEX HERBAL12X6X150G </t>
  </si>
  <si>
    <t xml:space="preserve">SUCRE KFTY SACHET 12 XIKG </t>
  </si>
  <si>
    <t>VIN BLANC EL VINO 12X1L</t>
  </si>
  <si>
    <t>VIN FIESTA ROUOE 12XL</t>
  </si>
  <si>
    <t xml:space="preserve">VIN ROUGE BARON DE RIBERA I2XIL </t>
  </si>
  <si>
    <t>HUILE MAYOR 15X1L</t>
  </si>
  <si>
    <t xml:space="preserve">TOMATE ROMA SACHET 50X70G </t>
  </si>
  <si>
    <t xml:space="preserve">BONBON TATOO POP X16 </t>
  </si>
  <si>
    <t>SER VIETTE HYG SOFTCARE A+ 10PQTX6 NEW BLEU</t>
  </si>
  <si>
    <t>CUBE MAGGI ETOILE 25 X100X4G</t>
  </si>
  <si>
    <t>JUS FRESHCO GOYAVE 24 X310ML</t>
  </si>
  <si>
    <t>INSECTICIDE SPIRALE ZERO MOUSTIQUE X60</t>
  </si>
  <si>
    <t>Mouchoir</t>
  </si>
  <si>
    <t>pu_vente_piece</t>
  </si>
  <si>
    <t>SARDINE JOLY NON PIMENTE 125X50</t>
  </si>
  <si>
    <t xml:space="preserve">VIN ROUGE EL VINO I2XIL </t>
  </si>
  <si>
    <t>BOSTER COLA CANETTE 0,5L</t>
  </si>
  <si>
    <t>BEAUFORT ORDINAIRE CANETTE 0,5L</t>
  </si>
  <si>
    <t>MUTZIG CANETTE 0,5L</t>
  </si>
  <si>
    <t>CASTEL CANETTE 0,5L</t>
  </si>
  <si>
    <t>33 EXPORT CANETTE 0,5L</t>
  </si>
  <si>
    <t>MALTA GUINESS CANETTE 0,5L</t>
  </si>
  <si>
    <t>PERLADO</t>
  </si>
  <si>
    <t>JUS ERNERGISANTE REAKTOR 0,5L</t>
  </si>
  <si>
    <t>JUS TOP PAMOLEMOUS PET 1L</t>
  </si>
  <si>
    <t>JUS TOP ORANGE PET 1L</t>
  </si>
  <si>
    <t>JUS TOP GRENADINE PET 1L</t>
  </si>
  <si>
    <t>JUS REAKTOR DARK POWER PET 0,5L</t>
  </si>
  <si>
    <t>JUS SABS VIMTO 1L</t>
  </si>
  <si>
    <t>JUS SABS ORANGINA 1L</t>
  </si>
  <si>
    <t>EAU VITAL 10L</t>
  </si>
  <si>
    <t>JUS PLANET TROPICAL 1,2L</t>
  </si>
  <si>
    <t>JUS COCA COLA PET 1L</t>
  </si>
  <si>
    <t>JUS TOP ANANAS PET 0,35L</t>
  </si>
  <si>
    <t>JUS PLANET ORANGE 1,2L</t>
  </si>
  <si>
    <t>JUS PLANET ORANGE 0,35L</t>
  </si>
  <si>
    <t>JUS TOP ORANGE PET 0,35L</t>
  </si>
  <si>
    <t>JUS BUBLE UP CHAPHAN 1,2L</t>
  </si>
  <si>
    <t>JUS UCB PAMPLEMOUSSE PET 1L</t>
  </si>
  <si>
    <t>JUS SABC DJINO COKTAIL PET 1L</t>
  </si>
  <si>
    <t>JUS PLANET COKTAIL 1,2L</t>
  </si>
  <si>
    <t>EAU SUPERMONT 0,5L</t>
  </si>
  <si>
    <t>EAU SUPERMONT 1,5L</t>
  </si>
  <si>
    <t>EAU SUPERMONT 10L</t>
  </si>
  <si>
    <t>EAU MINERAL OPUR 0,5L</t>
  </si>
  <si>
    <t>EAU MINERAL OPUR 1,5L</t>
  </si>
  <si>
    <t xml:space="preserve">SPAGHETTI SPAGHETTO 500G </t>
  </si>
  <si>
    <t xml:space="preserve">SPAGHETTI SPAGHETTO 2500G </t>
  </si>
  <si>
    <t xml:space="preserve">SAVON MAYOR 360G  60 </t>
  </si>
  <si>
    <t>SAVON AZUR 400G 60</t>
  </si>
  <si>
    <t>BOSTER COLA 0,65L</t>
  </si>
  <si>
    <t>BOSTER DJIM TONIC 0,65L</t>
  </si>
  <si>
    <t>33 EXPORT 0,65L</t>
  </si>
  <si>
    <t>CASTEL 0,5L</t>
  </si>
  <si>
    <t>KAGI BIER 0,65L</t>
  </si>
  <si>
    <t>MANYAN 0,65L</t>
  </si>
  <si>
    <t>ICE BLACK ET ANANA 0,65L</t>
  </si>
  <si>
    <t>BEAUFORT ORDINAIRE 0,65L</t>
  </si>
  <si>
    <t>MUTZIG 0,65L</t>
  </si>
  <si>
    <t>DOPPEL 0,65L</t>
  </si>
  <si>
    <t>ISEMBECK 0,65L</t>
  </si>
  <si>
    <t>MUX WISKI 0,65L</t>
  </si>
  <si>
    <t>MUX HERTAL 0,65L</t>
  </si>
  <si>
    <t>HARP BRASSERIE 0,6L</t>
  </si>
  <si>
    <t>ORIGI GUINESS 0,65L</t>
  </si>
  <si>
    <t>PETIT GUINESS 0,35L</t>
  </si>
  <si>
    <t>GRAND GUINESS 0,65L</t>
  </si>
  <si>
    <t>MALTA GUINESS 0,3L</t>
  </si>
  <si>
    <t>SMOOTH GUINESS 0,65L</t>
  </si>
  <si>
    <t xml:space="preserve">ORUIM GUINNESS 0,65L </t>
  </si>
  <si>
    <t>BABOUCHE DE TOILETTE</t>
  </si>
  <si>
    <t>JUS ANANAS BRASSERIE 1L</t>
  </si>
  <si>
    <t>JUS GRENADINE 1L</t>
  </si>
  <si>
    <t>JUS TOP 1L</t>
  </si>
  <si>
    <t>AMPOULE REGRETTE</t>
  </si>
  <si>
    <t>RALONGE ELECTRIQUE</t>
  </si>
  <si>
    <t>PLASTIQUE</t>
  </si>
  <si>
    <t>CIRAGE LIQUIDE</t>
  </si>
  <si>
    <t>TAILLE CRAYON</t>
  </si>
  <si>
    <t>CAOUTCHOUC</t>
  </si>
  <si>
    <t>EPINGLE</t>
  </si>
  <si>
    <t>RÈGLE GRADUE</t>
  </si>
  <si>
    <t>MENTHOLIN</t>
  </si>
  <si>
    <t>LOTUS TIOF</t>
  </si>
  <si>
    <t>BOUTEILLE CONSIGNE</t>
  </si>
  <si>
    <t>EAU OPUR 1,5L</t>
  </si>
  <si>
    <t>JUS VIMTO BRASSERIE 1L</t>
  </si>
  <si>
    <t>REAKTOR NOIR</t>
  </si>
  <si>
    <t>JUS DJINO BRASSERIE 1L</t>
  </si>
  <si>
    <t>JUS ORANGE BRASSERIE 1L</t>
  </si>
  <si>
    <t>SMIRNOFF ANANAS 0,3L</t>
  </si>
  <si>
    <t>EAU PLANETE 1,5L</t>
  </si>
  <si>
    <t>SER VIETTE HYG AMIE 5X12X280MM</t>
  </si>
  <si>
    <t>Hygiène Féminine</t>
  </si>
  <si>
    <t>SER HYG A+ JAUNE 4X6</t>
  </si>
  <si>
    <t>Assaisonnement</t>
  </si>
  <si>
    <t>Cube</t>
  </si>
  <si>
    <t>BONBON MENTOS BTE 18</t>
  </si>
  <si>
    <t>Boîte</t>
  </si>
  <si>
    <t>Boisson</t>
  </si>
  <si>
    <t>Insecticide</t>
  </si>
  <si>
    <t>Concentré de Tomate</t>
  </si>
  <si>
    <t>Sachet</t>
  </si>
  <si>
    <t>Périmé</t>
  </si>
  <si>
    <t>Archile</t>
  </si>
  <si>
    <t>Boisson Energisante</t>
  </si>
  <si>
    <t>Boisson Gazeuse</t>
  </si>
  <si>
    <t>Brasserie Biere</t>
  </si>
  <si>
    <t>Guinness Biere</t>
  </si>
  <si>
    <t>Mux Biere</t>
  </si>
  <si>
    <t>Concentré Tomate</t>
  </si>
  <si>
    <t xml:space="preserve">categorie_id </t>
  </si>
  <si>
    <t>code_categorie</t>
  </si>
  <si>
    <t>nom_categorie</t>
  </si>
  <si>
    <t>BIS</t>
  </si>
  <si>
    <t>JUS</t>
  </si>
  <si>
    <t>CNF</t>
  </si>
  <si>
    <t>TOM</t>
  </si>
  <si>
    <t>HYC</t>
  </si>
  <si>
    <t>Hygiène Corporelle</t>
  </si>
  <si>
    <t>HYF</t>
  </si>
  <si>
    <t>DET</t>
  </si>
  <si>
    <t>INS</t>
  </si>
  <si>
    <t>PAP</t>
  </si>
  <si>
    <t>Papeterie</t>
  </si>
  <si>
    <t>DIV</t>
  </si>
  <si>
    <t>Divers</t>
  </si>
  <si>
    <t>Produits servant à assaisonner les aliments (Maggi, épices, sel, bouillons, etc.).</t>
  </si>
  <si>
    <t>Biscuits sucrés, salés, crackers et produits similaires.</t>
  </si>
  <si>
    <t>BEN</t>
  </si>
  <si>
    <t>Boissons énergisantes telles que XXL, Predator, Red Bull, etc.</t>
  </si>
  <si>
    <t>BOG</t>
  </si>
  <si>
    <t>Boissons gazeuses non alcoolisées (Coca-Cola, Fanta, Sprite, Top, etc.).</t>
  </si>
  <si>
    <t>BRB</t>
  </si>
  <si>
    <t>Bières produites par les brasseries locales ou internationales.</t>
  </si>
  <si>
    <t>CAN</t>
  </si>
  <si>
    <t>Boissons conditionnées en canette (bières, sodas, boissons énergisantes).</t>
  </si>
  <si>
    <t>COM</t>
  </si>
  <si>
    <t>Produits destinés à la cuisson ou à l'éclairage (charbon, gaz, pétrole, etc.).</t>
  </si>
  <si>
    <t>Concentrés de tomate en sachet, boîte ou tube.</t>
  </si>
  <si>
    <t>Bonbons, chewing-gums, chocolats et autres friandises.</t>
  </si>
  <si>
    <t>CSV</t>
  </si>
  <si>
    <t>Conserves alimentaires en boîte ou en bocal.</t>
  </si>
  <si>
    <t>CSG</t>
  </si>
  <si>
    <t>Bouteilles consignées et emballages retournables.</t>
  </si>
  <si>
    <t>EAU</t>
  </si>
  <si>
    <t>Eaux minérales et eaux de table.</t>
  </si>
  <si>
    <t>ELE</t>
  </si>
  <si>
    <t>Produits ou services liés à l'électricité (ampoules, recharge, etc.).</t>
  </si>
  <si>
    <t>EMB</t>
  </si>
  <si>
    <t>Sacs, sachets, cartons et autres emballages destinés aux clients.</t>
  </si>
  <si>
    <t>ENT</t>
  </si>
  <si>
    <t>Produits d'entretien ménager et de nettoyage.</t>
  </si>
  <si>
    <t>EPI</t>
  </si>
  <si>
    <t>Produits alimentaires divers (huile, sucre, farine, riz, etc.).</t>
  </si>
  <si>
    <t>FOU</t>
  </si>
  <si>
    <t>Fournitures diverses utilisées pour le fonctionnement de la boutique.</t>
  </si>
  <si>
    <t>GUI</t>
  </si>
  <si>
    <t>Produits de la marque Guinness.</t>
  </si>
  <si>
    <t>HYG</t>
  </si>
  <si>
    <t>Produits d'hygiène générale.</t>
  </si>
  <si>
    <t>Serviettes hygiéniques, protège-slips et autres produits d'hygiène féminine.</t>
  </si>
  <si>
    <t>Produits contre les moustiques et autres insectes (spirales, sprays, etc.).</t>
  </si>
  <si>
    <t>Jus de fruits et boissons à base de fruits.</t>
  </si>
  <si>
    <t>MOU</t>
  </si>
  <si>
    <t>Mouchoirs en papier, serviettes et papiers absorbants.</t>
  </si>
  <si>
    <t>MUX</t>
  </si>
  <si>
    <t>Produits de la marque Mützig (Mux) ou assimilés.</t>
  </si>
  <si>
    <t>PAT</t>
  </si>
  <si>
    <t>Pâtes alimentaires, nouilles, spaghetti, macaroni, etc.</t>
  </si>
  <si>
    <t>POM</t>
  </si>
  <si>
    <t>Crèmes, pommades et produits de soin corporels.</t>
  </si>
  <si>
    <t>TAB</t>
  </si>
  <si>
    <t>Cigarettes, cigares et autres produits du tabac.</t>
  </si>
  <si>
    <t>VIN</t>
  </si>
  <si>
    <t>Vins rouges, blancs, rosés et vins mousseux.</t>
  </si>
  <si>
    <t>Lessives, savons, liquides vaisselle et autres détergents.</t>
  </si>
  <si>
    <t>Cahiers, stylos, crayons, feuilles et fournitures scolaires ou de bureau.</t>
  </si>
  <si>
    <t>Savons, shampoings, gels douche, dentifrices et produits de soin corporel.</t>
  </si>
  <si>
    <t>Produits ne pouvant être classés dans aucune autre catégorie.</t>
  </si>
  <si>
    <t>CIGARETTE ASPEN IX50</t>
  </si>
  <si>
    <t>TIGER RAZOR</t>
  </si>
  <si>
    <t>vente_id</t>
  </si>
  <si>
    <t>ligne_vente_id</t>
  </si>
  <si>
    <t>vendeur_id</t>
  </si>
  <si>
    <t>achat_id</t>
  </si>
  <si>
    <t>acheteur_id</t>
  </si>
  <si>
    <t xml:space="preserve">ligne_achat_id </t>
  </si>
  <si>
    <t xml:space="preserve">achat_id </t>
  </si>
  <si>
    <t>Table</t>
  </si>
  <si>
    <t>Chaise</t>
  </si>
  <si>
    <t>Televiseur</t>
  </si>
  <si>
    <t>Frigo</t>
  </si>
  <si>
    <t>perte_id</t>
  </si>
  <si>
    <t>categorie_id</t>
  </si>
  <si>
    <t>depense_id</t>
  </si>
  <si>
    <t>MUX COCKTAIL MARGARITA</t>
  </si>
  <si>
    <t>MUX COCKTAIL GNITO MIX</t>
  </si>
  <si>
    <t>JUS REAKTOR GOLD POWER 0,5L</t>
  </si>
  <si>
    <t>SMOOTH GUINESS 0,50L</t>
  </si>
  <si>
    <t>ORIGI GUINESS 0,60L</t>
  </si>
  <si>
    <t>MUX COCKTAIL MOJITO</t>
  </si>
  <si>
    <t>MUX COCKTAIL WHISKO MIX</t>
  </si>
  <si>
    <t>SMINOFF ICE ANANA 0,33L</t>
  </si>
  <si>
    <t>SMINOFF ICE DOUBLE BLACK 0,33L</t>
  </si>
  <si>
    <t>MUX COCKTAIL HERBAL MIX</t>
  </si>
  <si>
    <t>Nom Corrige</t>
  </si>
  <si>
    <t>repas controleur</t>
  </si>
  <si>
    <t>Lumiere</t>
  </si>
  <si>
    <t xml:space="preserve">BOUTEILLE  Braserie </t>
  </si>
  <si>
    <t>BOUTEILLE Smooth 0,50 L</t>
  </si>
  <si>
    <t>BOUTEILLE SMOOTH 0,65L</t>
  </si>
  <si>
    <t>BOUTEILLE GRAND GUINESS</t>
  </si>
  <si>
    <t>BOUTEILLE PETIT GUINESS</t>
  </si>
  <si>
    <t xml:space="preserve">VIDE CASIER BRADERIE </t>
  </si>
  <si>
    <t>VIDE CASIER GRAND GUINESSE</t>
  </si>
  <si>
    <t>VIDE CASIER PETIT GUINESSE</t>
  </si>
  <si>
    <t>comment 0?</t>
  </si>
  <si>
    <t>commen zero elle na pas ete vendu et elle a ette achete sur la f13</t>
  </si>
  <si>
    <t>il y avais 15 - 14 = 1 reste</t>
  </si>
  <si>
    <t>commen sapelle quand tu vend? Il y devai avoir encore</t>
  </si>
  <si>
    <t>sur un otre non?</t>
  </si>
  <si>
    <t>commen 5-1=4</t>
  </si>
  <si>
    <t>10-7=3 comen zero</t>
  </si>
  <si>
    <t xml:space="preserve">il dit reste tj 2 dans </t>
  </si>
  <si>
    <r>
      <t xml:space="preserve">il y avais 6 </t>
    </r>
    <r>
      <rPr>
        <sz val="11"/>
        <color rgb="FFFF0000"/>
        <rFont val="Aptos Narrow"/>
        <family val="2"/>
        <scheme val="minor"/>
      </rPr>
      <t>perime</t>
    </r>
  </si>
  <si>
    <r>
      <t>il y avais 13</t>
    </r>
    <r>
      <rPr>
        <sz val="11"/>
        <color rgb="FFFF0000"/>
        <rFont val="Aptos Narrow"/>
        <family val="2"/>
        <scheme val="minor"/>
      </rPr>
      <t xml:space="preserve"> pireme</t>
    </r>
  </si>
  <si>
    <r>
      <t xml:space="preserve">il y avais 3 </t>
    </r>
    <r>
      <rPr>
        <sz val="11"/>
        <color rgb="FFFF0000"/>
        <rFont val="Aptos Narrow"/>
        <family val="2"/>
        <scheme val="minor"/>
      </rPr>
      <t>perime</t>
    </r>
  </si>
  <si>
    <t>pas sur lite</t>
  </si>
  <si>
    <t>JUS TOP ANANAS BRASSERIE 1L commen zero elle a ete ven du ceulemen 1 bouteil sur 6</t>
  </si>
  <si>
    <r>
      <t xml:space="preserve">il y avais 12 dernier inventaire rien vendu </t>
    </r>
    <r>
      <rPr>
        <sz val="11"/>
        <color rgb="FFFF0000"/>
        <rFont val="Aptos Narrow"/>
        <family val="2"/>
        <scheme val="minor"/>
      </rPr>
      <t>perime</t>
    </r>
  </si>
  <si>
    <t>achte apres inventaire</t>
  </si>
  <si>
    <t>meme non : EAU MINERAL OPUR 1,5L</t>
  </si>
  <si>
    <t>denir in ventai 22 -0=22  nesite pas</t>
  </si>
  <si>
    <t xml:space="preserve">SPAGHETTI SPAGHETTO 250G </t>
  </si>
  <si>
    <t>Perce</t>
  </si>
  <si>
    <t>Vole</t>
  </si>
  <si>
    <t>JUS TOP ANANAS BRASSERIE 1L</t>
  </si>
  <si>
    <t>Inventur Juli</t>
  </si>
  <si>
    <t>total_acheter</t>
  </si>
  <si>
    <t>total_vendu</t>
  </si>
  <si>
    <t>Achile</t>
  </si>
  <si>
    <t>Christian</t>
  </si>
  <si>
    <t>type_achat</t>
  </si>
  <si>
    <t>Stock initial</t>
  </si>
  <si>
    <t>Achat fournisseur</t>
  </si>
  <si>
    <t>dans dim_lignes_achat</t>
  </si>
  <si>
    <t>manque dans fact_inventaire</t>
  </si>
  <si>
    <t>dans dim_produit</t>
  </si>
  <si>
    <t>KADJI BIER 0,65L</t>
  </si>
  <si>
    <t>Achile/Christian</t>
  </si>
  <si>
    <t>Repas offert au contrôleur lors d'une inspection ou d'une mission. Ce n'est pas une marchandise.</t>
  </si>
  <si>
    <t>Frais de personnel</t>
  </si>
  <si>
    <t>Électricité</t>
  </si>
  <si>
    <t>Dépense liée à la consommation d'électricité du magasin.</t>
  </si>
  <si>
    <t>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</si>
</sst>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FCFA-2C0C]_-;\-* #,##0.00\ [$FCFA-2C0C]_-;_-* &quot;-&quot;??\ [$FCFA-2C0C]_-;_-@_-"/>
    <numFmt numFmtId="165" formatCode="_-* #,##0\ [$FCFA-2C0C]_-;\-* #,##0\ [$FCFA-2C0C]_-;_-* &quot;-&quot;??\ [$FCFA-2C0C]_-;_-@_-"/>
    <numFmt numFmtId="166" formatCode="_-* #,##0.0\ [$FCFA-2C0C]_-;\-* #,##0.0\ [$FCFA-2C0C]_-;_-* &quot;-&quot;??\ [$FCFA-2C0C]_-;_-@_-"/>
  </numFmts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theme="7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14" fontId="2" fillId="0" borderId="0" xfId="0" applyNumberFormat="1" applyFont="1"/>
    <xf numFmtId="164" fontId="2" fillId="0" borderId="0" xfId="0" applyNumberFormat="1" applyFont="1"/>
    <xf numFmtId="0" fontId="2" fillId="0" borderId="0" xfId="0" applyFont="1"/>
    <xf numFmtId="14" fontId="0" fillId="0" borderId="0" xfId="0" applyNumberFormat="1" applyAlignment="1">
      <alignment vertical="center" wrapText="1"/>
    </xf>
    <xf numFmtId="14" fontId="0" fillId="0" borderId="0" xfId="0" applyNumberFormat="1"/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165" fontId="0" fillId="0" borderId="0" xfId="0" applyNumberFormat="1" applyAlignment="1">
      <alignment vertical="center" wrapText="1"/>
    </xf>
    <xf numFmtId="165" fontId="0" fillId="0" borderId="0" xfId="0" applyNumberFormat="1"/>
    <xf numFmtId="0" fontId="4" fillId="0" borderId="0" xfId="0" applyFont="1" applyAlignment="1">
      <alignment vertical="center"/>
    </xf>
    <xf numFmtId="0" fontId="0" fillId="3" borderId="0" xfId="0" applyFill="1"/>
    <xf numFmtId="0" fontId="5" fillId="0" borderId="1" xfId="0" applyFont="1" applyBorder="1"/>
    <xf numFmtId="164" fontId="1" fillId="4" borderId="1" xfId="0" applyNumberFormat="1" applyFont="1" applyFill="1" applyBorder="1"/>
    <xf numFmtId="164" fontId="5" fillId="0" borderId="1" xfId="0" applyNumberFormat="1" applyFont="1" applyBorder="1"/>
    <xf numFmtId="2" fontId="0" fillId="0" borderId="0" xfId="0" applyNumberFormat="1" applyAlignment="1">
      <alignment vertical="center" wrapText="1"/>
    </xf>
    <xf numFmtId="164" fontId="0" fillId="5" borderId="0" xfId="0" applyNumberFormat="1" applyFill="1"/>
    <xf numFmtId="165" fontId="2" fillId="0" borderId="0" xfId="0" applyNumberFormat="1" applyFont="1"/>
    <xf numFmtId="164" fontId="6" fillId="0" borderId="0" xfId="0" applyNumberFormat="1" applyFont="1"/>
    <xf numFmtId="14" fontId="6" fillId="0" borderId="0" xfId="0" applyNumberFormat="1" applyFont="1" applyAlignment="1">
      <alignment vertical="center" wrapText="1"/>
    </xf>
    <xf numFmtId="0" fontId="6" fillId="0" borderId="0" xfId="0" applyFont="1"/>
    <xf numFmtId="0" fontId="1" fillId="0" borderId="0" xfId="0" applyFont="1"/>
    <xf numFmtId="0" fontId="1" fillId="6" borderId="1" xfId="0" applyFont="1" applyFill="1" applyBorder="1"/>
    <xf numFmtId="0" fontId="1" fillId="6" borderId="1" xfId="0" applyFont="1" applyFill="1" applyBorder="1" applyAlignment="1">
      <alignment vertical="center" wrapText="1"/>
    </xf>
    <xf numFmtId="164" fontId="1" fillId="6" borderId="1" xfId="0" applyNumberFormat="1" applyFont="1" applyFill="1" applyBorder="1" applyAlignment="1">
      <alignment vertical="center" wrapText="1"/>
    </xf>
    <xf numFmtId="14" fontId="1" fillId="6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1" fontId="6" fillId="0" borderId="0" xfId="0" applyNumberFormat="1" applyFont="1" applyAlignment="1">
      <alignment vertical="center" wrapText="1"/>
    </xf>
    <xf numFmtId="1" fontId="0" fillId="0" borderId="0" xfId="0" applyNumberFormat="1"/>
    <xf numFmtId="165" fontId="2" fillId="0" borderId="1" xfId="0" applyNumberFormat="1" applyFont="1" applyBorder="1"/>
    <xf numFmtId="165" fontId="0" fillId="0" borderId="1" xfId="0" applyNumberFormat="1" applyBorder="1"/>
    <xf numFmtId="165" fontId="2" fillId="2" borderId="1" xfId="0" applyNumberFormat="1" applyFont="1" applyFill="1" applyBorder="1"/>
    <xf numFmtId="165" fontId="0" fillId="2" borderId="1" xfId="0" applyNumberFormat="1" applyFill="1" applyBorder="1"/>
    <xf numFmtId="0" fontId="0" fillId="7" borderId="1" xfId="0" applyFill="1" applyBorder="1"/>
    <xf numFmtId="164" fontId="2" fillId="0" borderId="2" xfId="0" applyNumberFormat="1" applyFont="1" applyBorder="1"/>
    <xf numFmtId="164" fontId="7" fillId="0" borderId="2" xfId="0" applyNumberFormat="1" applyFont="1" applyBorder="1"/>
    <xf numFmtId="0" fontId="0" fillId="4" borderId="1" xfId="0" applyFill="1" applyBorder="1"/>
    <xf numFmtId="165" fontId="2" fillId="4" borderId="1" xfId="0" applyNumberFormat="1" applyFont="1" applyFill="1" applyBorder="1"/>
    <xf numFmtId="164" fontId="0" fillId="4" borderId="1" xfId="0" applyNumberFormat="1" applyFill="1" applyBorder="1"/>
    <xf numFmtId="165" fontId="2" fillId="7" borderId="1" xfId="0" applyNumberFormat="1" applyFont="1" applyFill="1" applyBorder="1"/>
    <xf numFmtId="165" fontId="0" fillId="7" borderId="1" xfId="0" applyNumberFormat="1" applyFill="1" applyBorder="1"/>
    <xf numFmtId="0" fontId="6" fillId="4" borderId="1" xfId="0" applyFont="1" applyFill="1" applyBorder="1"/>
    <xf numFmtId="0" fontId="6" fillId="7" borderId="1" xfId="0" applyFont="1" applyFill="1" applyBorder="1"/>
    <xf numFmtId="0" fontId="2" fillId="4" borderId="1" xfId="0" applyFont="1" applyFill="1" applyBorder="1"/>
    <xf numFmtId="0" fontId="0" fillId="8" borderId="1" xfId="0" applyFill="1" applyBorder="1"/>
    <xf numFmtId="165" fontId="2" fillId="8" borderId="1" xfId="0" applyNumberFormat="1" applyFont="1" applyFill="1" applyBorder="1"/>
    <xf numFmtId="165" fontId="0" fillId="8" borderId="1" xfId="0" applyNumberFormat="1" applyFill="1" applyBorder="1"/>
    <xf numFmtId="0" fontId="6" fillId="8" borderId="1" xfId="0" applyFont="1" applyFill="1" applyBorder="1"/>
    <xf numFmtId="0" fontId="2" fillId="8" borderId="1" xfId="0" applyFont="1" applyFill="1" applyBorder="1"/>
    <xf numFmtId="0" fontId="0" fillId="8" borderId="1" xfId="0" applyFill="1" applyBorder="1" applyAlignment="1">
      <alignment wrapText="1"/>
    </xf>
    <xf numFmtId="14" fontId="1" fillId="6" borderId="3" xfId="0" applyNumberFormat="1" applyFont="1" applyFill="1" applyBorder="1" applyAlignment="1">
      <alignment vertical="center" wrapText="1"/>
    </xf>
    <xf numFmtId="0" fontId="0" fillId="8" borderId="3" xfId="0" applyFill="1" applyBorder="1"/>
    <xf numFmtId="0" fontId="0" fillId="0" borderId="3" xfId="0" applyBorder="1"/>
    <xf numFmtId="165" fontId="7" fillId="6" borderId="1" xfId="0" applyNumberFormat="1" applyFont="1" applyFill="1" applyBorder="1" applyAlignment="1">
      <alignment vertical="center" wrapText="1"/>
    </xf>
    <xf numFmtId="14" fontId="0" fillId="2" borderId="3" xfId="0" applyNumberFormat="1" applyFill="1" applyBorder="1"/>
    <xf numFmtId="14" fontId="0" fillId="7" borderId="3" xfId="0" applyNumberFormat="1" applyFill="1" applyBorder="1"/>
    <xf numFmtId="14" fontId="0" fillId="2" borderId="1" xfId="0" applyNumberFormat="1" applyFill="1" applyBorder="1"/>
    <xf numFmtId="14" fontId="0" fillId="7" borderId="1" xfId="0" applyNumberFormat="1" applyFill="1" applyBorder="1"/>
    <xf numFmtId="14" fontId="0" fillId="4" borderId="3" xfId="0" applyNumberFormat="1" applyFill="1" applyBorder="1"/>
    <xf numFmtId="0" fontId="6" fillId="0" borderId="1" xfId="0" applyFont="1" applyBorder="1"/>
    <xf numFmtId="14" fontId="0" fillId="4" borderId="1" xfId="0" applyNumberFormat="1" applyFill="1" applyBorder="1"/>
    <xf numFmtId="14" fontId="0" fillId="8" borderId="3" xfId="0" applyNumberFormat="1" applyFill="1" applyBorder="1"/>
    <xf numFmtId="14" fontId="0" fillId="8" borderId="1" xfId="0" applyNumberFormat="1" applyFill="1" applyBorder="1"/>
    <xf numFmtId="165" fontId="2" fillId="0" borderId="4" xfId="0" applyNumberFormat="1" applyFont="1" applyBorder="1"/>
    <xf numFmtId="165" fontId="0" fillId="2" borderId="0" xfId="0" applyNumberFormat="1" applyFill="1"/>
    <xf numFmtId="0" fontId="8" fillId="0" borderId="0" xfId="0" applyFont="1"/>
    <xf numFmtId="14" fontId="0" fillId="0" borderId="1" xfId="0" applyNumberFormat="1" applyBorder="1"/>
    <xf numFmtId="0" fontId="2" fillId="0" borderId="1" xfId="0" applyFont="1" applyBorder="1"/>
    <xf numFmtId="0" fontId="0" fillId="0" borderId="4" xfId="0" applyBorder="1"/>
    <xf numFmtId="14" fontId="0" fillId="0" borderId="4" xfId="0" applyNumberFormat="1" applyBorder="1"/>
    <xf numFmtId="0" fontId="8" fillId="0" borderId="5" xfId="0" applyFont="1" applyBorder="1"/>
    <xf numFmtId="14" fontId="8" fillId="0" borderId="5" xfId="0" applyNumberFormat="1" applyFont="1" applyBorder="1" applyAlignment="1">
      <alignment vertical="center" wrapText="1"/>
    </xf>
    <xf numFmtId="0" fontId="8" fillId="0" borderId="6" xfId="0" applyFont="1" applyBorder="1"/>
    <xf numFmtId="1" fontId="0" fillId="0" borderId="0" xfId="0" applyNumberFormat="1" applyAlignment="1">
      <alignment vertical="center" wrapText="1"/>
    </xf>
    <xf numFmtId="164" fontId="0" fillId="6" borderId="0" xfId="0" applyNumberFormat="1" applyFill="1"/>
    <xf numFmtId="0" fontId="0" fillId="6" borderId="0" xfId="0" applyFill="1"/>
    <xf numFmtId="164" fontId="0" fillId="7" borderId="0" xfId="0" applyNumberFormat="1" applyFill="1"/>
    <xf numFmtId="164" fontId="0" fillId="9" borderId="0" xfId="0" applyNumberFormat="1" applyFill="1"/>
    <xf numFmtId="164" fontId="0" fillId="10" borderId="0" xfId="0" applyNumberFormat="1" applyFill="1"/>
    <xf numFmtId="164" fontId="0" fillId="11" borderId="0" xfId="0" applyNumberFormat="1" applyFill="1"/>
    <xf numFmtId="164" fontId="0" fillId="12" borderId="0" xfId="0" applyNumberFormat="1" applyFill="1"/>
    <xf numFmtId="14" fontId="0" fillId="5" borderId="4" xfId="0" applyNumberFormat="1" applyFill="1" applyBorder="1" applyAlignment="1">
      <alignment vertical="center" wrapText="1"/>
    </xf>
    <xf numFmtId="14" fontId="0" fillId="5" borderId="1" xfId="0" applyNumberFormat="1" applyFill="1" applyBorder="1" applyAlignment="1">
      <alignment vertical="center" wrapText="1"/>
    </xf>
    <xf numFmtId="14" fontId="0" fillId="5" borderId="1" xfId="0" applyNumberFormat="1" applyFill="1" applyBorder="1"/>
    <xf numFmtId="0" fontId="0" fillId="5" borderId="4" xfId="0" applyFill="1" applyBorder="1"/>
    <xf numFmtId="0" fontId="0" fillId="5" borderId="1" xfId="0" applyFill="1" applyBorder="1"/>
    <xf numFmtId="14" fontId="8" fillId="3" borderId="5" xfId="0" applyNumberFormat="1" applyFont="1" applyFill="1" applyBorder="1" applyAlignment="1">
      <alignment vertical="center" wrapText="1"/>
    </xf>
    <xf numFmtId="0" fontId="8" fillId="3" borderId="5" xfId="0" applyFont="1" applyFill="1" applyBorder="1"/>
    <xf numFmtId="0" fontId="0" fillId="5" borderId="0" xfId="0" applyFill="1"/>
    <xf numFmtId="0" fontId="6" fillId="2" borderId="1" xfId="0" applyFont="1" applyFill="1" applyBorder="1"/>
    <xf numFmtId="0" fontId="0" fillId="13" borderId="1" xfId="0" applyFill="1" applyBorder="1"/>
    <xf numFmtId="0" fontId="0" fillId="3" borderId="1" xfId="0" applyFill="1" applyBorder="1"/>
    <xf numFmtId="14" fontId="0" fillId="3" borderId="1" xfId="0" applyNumberFormat="1" applyFill="1" applyBorder="1"/>
    <xf numFmtId="14" fontId="0" fillId="3" borderId="1" xfId="0" applyNumberFormat="1" applyFill="1" applyBorder="1" applyAlignment="1">
      <alignment vertical="center" wrapText="1"/>
    </xf>
    <xf numFmtId="0" fontId="0" fillId="14" borderId="1" xfId="0" applyFill="1" applyBorder="1"/>
    <xf numFmtId="0" fontId="6" fillId="14" borderId="1" xfId="0" applyFont="1" applyFill="1" applyBorder="1"/>
    <xf numFmtId="14" fontId="0" fillId="14" borderId="1" xfId="0" applyNumberFormat="1" applyFill="1" applyBorder="1"/>
    <xf numFmtId="14" fontId="0" fillId="14" borderId="1" xfId="0" applyNumberFormat="1" applyFill="1" applyBorder="1" applyAlignment="1">
      <alignment vertical="center" wrapText="1"/>
    </xf>
    <xf numFmtId="0" fontId="0" fillId="15" borderId="1" xfId="0" applyFill="1" applyBorder="1"/>
    <xf numFmtId="0" fontId="0" fillId="5" borderId="7" xfId="0" applyFill="1" applyBorder="1"/>
    <xf numFmtId="0" fontId="9" fillId="0" borderId="0" xfId="0" applyFont="1"/>
    <xf numFmtId="0" fontId="10" fillId="0" borderId="0" xfId="0" applyFont="1"/>
    <xf numFmtId="0" fontId="0" fillId="15" borderId="0" xfId="0" applyFill="1"/>
    <xf numFmtId="0" fontId="6" fillId="2" borderId="0" xfId="0" applyFont="1" applyFill="1"/>
    <xf numFmtId="0" fontId="0" fillId="16" borderId="0" xfId="0" applyFill="1"/>
    <xf numFmtId="0" fontId="0" fillId="17" borderId="0" xfId="0" applyFill="1"/>
    <xf numFmtId="0" fontId="11" fillId="0" borderId="0" xfId="0" applyFont="1"/>
    <xf numFmtId="0" fontId="12" fillId="0" borderId="0" xfId="0" applyFont="1"/>
    <xf numFmtId="166" fontId="0" fillId="0" borderId="0" xfId="0" applyNumberFormat="1"/>
    <xf numFmtId="164" fontId="0" fillId="17" borderId="0" xfId="0" applyNumberFormat="1" applyFill="1" applyAlignment="1">
      <alignment vertical="center" wrapText="1"/>
    </xf>
    <xf numFmtId="164" fontId="0" fillId="17" borderId="0" xfId="0" applyNumberFormat="1" applyFill="1"/>
    <xf numFmtId="0" fontId="1" fillId="4" borderId="1" xfId="0" applyFont="1" applyFill="1" applyBorder="1" applyAlignment="1">
      <alignment horizontal="center"/>
    </xf>
  </cellXfs>
  <cellStyles count="1">
    <cellStyle name="Standard" xfId="0" builtinId="0"/>
  </cellStyles>
  <dxfs count="9"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.00\ [$FCFA-2C0C]_-;\-* #,##0.00\ [$FCFA-2C0C]_-;_-* &quot;-&quot;??\ [$FCFA-2C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.00\ [$FCFA-2C0C]_-;\-* #,##0.00\ [$FCFA-2C0C]_-;_-* &quot;-&quot;??\ [$FCFA-2C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.00\ [$FCFA-2C0C]_-;\-* #,##0.00\ [$FCFA-2C0C]_-;_-* &quot;-&quot;??\ [$FCFA-2C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348FD-B8B3-4E22-87A0-123710BCF5FA}" name="Tabelle1" displayName="Tabelle1" ref="A3:G58" totalsRowShown="0" dataDxfId="8">
  <autoFilter ref="A3:G58" xr:uid="{03C348FD-B8B3-4E22-87A0-123710BCF5FA}"/>
  <tableColumns count="7">
    <tableColumn id="1" xr3:uid="{CFE74404-5491-4C73-8750-8662CD163BAE}" name="Date" dataDxfId="7"/>
    <tableColumn id="2" xr3:uid="{ABCA7BB5-E954-47D9-AB43-61D3DDF02A58}" name="Depart" dataDxfId="6"/>
    <tableColumn id="3" xr3:uid="{325F7024-F385-4816-913C-A7E3462B8F0C}" name="Entre" dataDxfId="5"/>
    <tableColumn id="4" xr3:uid="{A4E1D232-4033-423F-9FD0-B0C2B2BF6702}" name="Achat" dataDxfId="4"/>
    <tableColumn id="5" xr3:uid="{96A3B2BB-197C-4CDA-9DEC-B15BEE2E67F7}" name="autre depence" dataDxfId="3"/>
    <tableColumn id="6" xr3:uid="{FBE0EDAA-CC8B-40B6-9068-8A439A9736C0}" name="Details" dataDxfId="2"/>
    <tableColumn id="7" xr3:uid="{B1C1D647-00D1-4A27-AC85-C6369520DAE6}" name="Spalte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E096-F611-41A6-BA26-036AA27AD2E9}">
  <dimension ref="A1:N29"/>
  <sheetViews>
    <sheetView topLeftCell="A13" workbookViewId="0">
      <selection activeCell="M8" sqref="M8"/>
    </sheetView>
  </sheetViews>
  <sheetFormatPr baseColWidth="10" defaultRowHeight="14.4"/>
  <cols>
    <col min="1" max="1" width="17.6640625" customWidth="1"/>
    <col min="5" max="5" width="18.21875" customWidth="1"/>
    <col min="8" max="8" width="14.33203125" bestFit="1" customWidth="1"/>
    <col min="12" max="13" width="16.21875" bestFit="1" customWidth="1"/>
  </cols>
  <sheetData>
    <row r="1" spans="1:14">
      <c r="A1" s="2" t="s">
        <v>12</v>
      </c>
      <c r="E1" s="2" t="s">
        <v>45</v>
      </c>
      <c r="H1" s="2" t="s">
        <v>40</v>
      </c>
    </row>
    <row r="2" spans="1:14">
      <c r="A2" s="1" t="s">
        <v>0</v>
      </c>
      <c r="B2" s="1" t="s">
        <v>1</v>
      </c>
      <c r="E2" s="1" t="s">
        <v>10</v>
      </c>
      <c r="F2" s="1" t="s">
        <v>1</v>
      </c>
      <c r="H2" s="1" t="s">
        <v>41</v>
      </c>
      <c r="I2" s="1" t="s">
        <v>1</v>
      </c>
    </row>
    <row r="3" spans="1:14">
      <c r="A3" s="1" t="s">
        <v>2</v>
      </c>
      <c r="B3" s="1" t="s">
        <v>3</v>
      </c>
      <c r="E3" s="1" t="s">
        <v>11</v>
      </c>
      <c r="F3" s="1" t="s">
        <v>3</v>
      </c>
      <c r="H3" s="1" t="s">
        <v>42</v>
      </c>
      <c r="I3" s="1" t="s">
        <v>9</v>
      </c>
    </row>
    <row r="4" spans="1:14">
      <c r="A4" s="1" t="s">
        <v>4</v>
      </c>
      <c r="B4" s="1" t="s">
        <v>3</v>
      </c>
      <c r="H4" s="1" t="s">
        <v>43</v>
      </c>
      <c r="I4" s="1" t="s">
        <v>3</v>
      </c>
      <c r="L4" s="38">
        <v>510000</v>
      </c>
    </row>
    <row r="5" spans="1:14">
      <c r="A5" s="1" t="s">
        <v>5</v>
      </c>
      <c r="B5" s="1" t="s">
        <v>3</v>
      </c>
      <c r="H5" s="1" t="s">
        <v>44</v>
      </c>
      <c r="I5" s="1" t="s">
        <v>19</v>
      </c>
      <c r="M5" s="38">
        <f>383600+95000</f>
        <v>478600</v>
      </c>
      <c r="N5" t="s">
        <v>152</v>
      </c>
    </row>
    <row r="6" spans="1:14">
      <c r="A6" s="1" t="s">
        <v>6</v>
      </c>
      <c r="B6" s="1" t="s">
        <v>3</v>
      </c>
      <c r="M6" s="38">
        <f>L4-M5</f>
        <v>31400</v>
      </c>
      <c r="N6" t="s">
        <v>151</v>
      </c>
    </row>
    <row r="7" spans="1:14">
      <c r="A7" s="1" t="s">
        <v>7</v>
      </c>
      <c r="B7" s="1" t="s">
        <v>1</v>
      </c>
    </row>
    <row r="8" spans="1:14">
      <c r="A8" s="1" t="s">
        <v>8</v>
      </c>
      <c r="B8" s="1" t="s">
        <v>9</v>
      </c>
      <c r="M8" s="10">
        <f>M6+30000-44000</f>
        <v>17400</v>
      </c>
    </row>
    <row r="9" spans="1:14">
      <c r="A9" s="1"/>
      <c r="B9" s="1"/>
    </row>
    <row r="10" spans="1:14">
      <c r="A10" s="3" t="s">
        <v>29</v>
      </c>
      <c r="E10" s="2" t="s">
        <v>13</v>
      </c>
      <c r="H10" s="14" t="s">
        <v>71</v>
      </c>
    </row>
    <row r="11" spans="1:14">
      <c r="A11" s="1" t="s">
        <v>30</v>
      </c>
      <c r="B11" s="1" t="s">
        <v>1</v>
      </c>
      <c r="E11" s="1" t="s">
        <v>14</v>
      </c>
      <c r="F11" s="1" t="s">
        <v>1</v>
      </c>
      <c r="H11" t="s">
        <v>65</v>
      </c>
      <c r="I11" t="s">
        <v>1</v>
      </c>
    </row>
    <row r="12" spans="1:14">
      <c r="A12" s="1" t="s">
        <v>31</v>
      </c>
      <c r="B12" s="1" t="s">
        <v>32</v>
      </c>
      <c r="E12" s="1" t="s">
        <v>15</v>
      </c>
      <c r="F12" s="1" t="s">
        <v>9</v>
      </c>
      <c r="H12" t="s">
        <v>66</v>
      </c>
      <c r="I12" t="s">
        <v>9</v>
      </c>
    </row>
    <row r="13" spans="1:14">
      <c r="A13" s="1" t="s">
        <v>33</v>
      </c>
      <c r="B13" s="1" t="s">
        <v>1</v>
      </c>
      <c r="E13" s="1" t="s">
        <v>16</v>
      </c>
      <c r="F13" s="1" t="s">
        <v>3</v>
      </c>
      <c r="H13" t="s">
        <v>24</v>
      </c>
      <c r="I13" t="s">
        <v>1</v>
      </c>
      <c r="L13" s="38"/>
      <c r="M13" s="38"/>
    </row>
    <row r="14" spans="1:14">
      <c r="A14" s="1" t="s">
        <v>34</v>
      </c>
      <c r="B14" s="1" t="s">
        <v>19</v>
      </c>
      <c r="E14" s="1" t="s">
        <v>17</v>
      </c>
      <c r="F14" s="1" t="s">
        <v>1</v>
      </c>
      <c r="H14" t="s">
        <v>25</v>
      </c>
      <c r="I14" t="s">
        <v>1</v>
      </c>
      <c r="L14" s="38">
        <v>17400</v>
      </c>
      <c r="M14" s="38"/>
    </row>
    <row r="15" spans="1:14">
      <c r="E15" s="1" t="s">
        <v>18</v>
      </c>
      <c r="F15" s="1" t="s">
        <v>19</v>
      </c>
      <c r="H15" t="s">
        <v>67</v>
      </c>
      <c r="I15" t="s">
        <v>3</v>
      </c>
      <c r="L15" s="38">
        <v>700000</v>
      </c>
      <c r="M15" s="38"/>
    </row>
    <row r="16" spans="1:14">
      <c r="E16" s="1" t="s">
        <v>20</v>
      </c>
      <c r="F16" s="1" t="s">
        <v>19</v>
      </c>
      <c r="H16" t="s">
        <v>68</v>
      </c>
      <c r="I16" t="s">
        <v>19</v>
      </c>
      <c r="L16" s="38"/>
      <c r="M16" s="38">
        <v>681300</v>
      </c>
      <c r="N16" t="s">
        <v>148</v>
      </c>
    </row>
    <row r="17" spans="1:14">
      <c r="H17" t="s">
        <v>69</v>
      </c>
      <c r="I17" t="s">
        <v>19</v>
      </c>
      <c r="L17" s="38"/>
      <c r="M17" s="38">
        <v>10000</v>
      </c>
      <c r="N17" t="s">
        <v>147</v>
      </c>
    </row>
    <row r="18" spans="1:14">
      <c r="H18" t="s">
        <v>70</v>
      </c>
      <c r="I18" t="s">
        <v>3</v>
      </c>
      <c r="L18" s="38"/>
      <c r="M18" s="38">
        <v>800</v>
      </c>
      <c r="N18" t="s">
        <v>149</v>
      </c>
    </row>
    <row r="19" spans="1:14">
      <c r="A19" s="2" t="s">
        <v>35</v>
      </c>
      <c r="E19" s="3" t="s">
        <v>21</v>
      </c>
      <c r="L19" s="38"/>
      <c r="M19" s="38"/>
    </row>
    <row r="20" spans="1:14">
      <c r="A20" s="1" t="s">
        <v>36</v>
      </c>
      <c r="B20" s="1" t="s">
        <v>1</v>
      </c>
      <c r="E20" s="1" t="s">
        <v>22</v>
      </c>
      <c r="F20" s="1" t="s">
        <v>1</v>
      </c>
      <c r="L20" s="38">
        <f>SUM(L14:L15)</f>
        <v>717400</v>
      </c>
      <c r="M20" s="38">
        <f>SUM(M16:M18)</f>
        <v>692100</v>
      </c>
    </row>
    <row r="21" spans="1:14">
      <c r="A21" s="1" t="s">
        <v>37</v>
      </c>
      <c r="B21" s="1" t="s">
        <v>1</v>
      </c>
      <c r="E21" s="1" t="s">
        <v>23</v>
      </c>
      <c r="F21" s="1" t="s">
        <v>1</v>
      </c>
      <c r="L21" s="38"/>
      <c r="M21" s="38"/>
    </row>
    <row r="22" spans="1:14">
      <c r="A22" s="1" t="s">
        <v>24</v>
      </c>
      <c r="B22" s="1" t="s">
        <v>1</v>
      </c>
      <c r="E22" s="1" t="s">
        <v>24</v>
      </c>
      <c r="F22" s="1" t="s">
        <v>1</v>
      </c>
      <c r="L22" s="38"/>
      <c r="M22" s="39">
        <f>L20-M20</f>
        <v>25300</v>
      </c>
      <c r="N22" s="24" t="s">
        <v>151</v>
      </c>
    </row>
    <row r="23" spans="1:14">
      <c r="A23" s="1" t="s">
        <v>25</v>
      </c>
      <c r="B23" s="1" t="s">
        <v>1</v>
      </c>
      <c r="E23" s="1" t="s">
        <v>25</v>
      </c>
      <c r="F23" s="1" t="s">
        <v>1</v>
      </c>
    </row>
    <row r="24" spans="1:14">
      <c r="A24" s="1" t="s">
        <v>38</v>
      </c>
      <c r="B24" s="1" t="s">
        <v>19</v>
      </c>
      <c r="E24" s="1" t="s">
        <v>26</v>
      </c>
      <c r="F24" s="1" t="s">
        <v>1</v>
      </c>
      <c r="M24" s="38">
        <v>10000</v>
      </c>
    </row>
    <row r="25" spans="1:14">
      <c r="A25" s="1" t="s">
        <v>39</v>
      </c>
      <c r="B25" s="1" t="s">
        <v>19</v>
      </c>
      <c r="E25" s="1" t="s">
        <v>27</v>
      </c>
      <c r="F25" s="1" t="s">
        <v>19</v>
      </c>
    </row>
    <row r="26" spans="1:14">
      <c r="E26" s="1" t="s">
        <v>28</v>
      </c>
      <c r="F26" s="1" t="s">
        <v>19</v>
      </c>
      <c r="M26" s="10">
        <f>M22-M24</f>
        <v>15300</v>
      </c>
    </row>
    <row r="27" spans="1:14">
      <c r="A27" s="3" t="s">
        <v>48</v>
      </c>
    </row>
    <row r="28" spans="1:14">
      <c r="A28" s="1" t="s">
        <v>46</v>
      </c>
      <c r="B28" s="1" t="s">
        <v>1</v>
      </c>
    </row>
    <row r="29" spans="1:14">
      <c r="A29" s="1" t="s">
        <v>47</v>
      </c>
      <c r="B29" s="1" t="s">
        <v>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024-65A6-40B4-B8E0-B97D989DD769}">
  <dimension ref="A1:H77"/>
  <sheetViews>
    <sheetView workbookViewId="0">
      <pane xSplit="8" ySplit="3" topLeftCell="I40" activePane="bottomRight" state="frozen"/>
      <selection pane="topRight" activeCell="I1" sqref="I1"/>
      <selection pane="bottomLeft" activeCell="A4" sqref="A4"/>
      <selection pane="bottomRight" activeCell="C51" sqref="C51"/>
    </sheetView>
  </sheetViews>
  <sheetFormatPr baseColWidth="10" defaultRowHeight="14.4"/>
  <cols>
    <col min="2" max="2" width="16.21875" bestFit="1" customWidth="1"/>
    <col min="3" max="3" width="19.109375" customWidth="1"/>
    <col min="4" max="4" width="18" customWidth="1"/>
    <col min="5" max="5" width="17" customWidth="1"/>
    <col min="7" max="7" width="17.77734375" bestFit="1" customWidth="1"/>
  </cols>
  <sheetData>
    <row r="1" spans="1:8" ht="15.6">
      <c r="C1" s="115" t="s">
        <v>77</v>
      </c>
      <c r="D1" s="115"/>
      <c r="E1" s="115"/>
      <c r="G1" s="15" t="s">
        <v>78</v>
      </c>
    </row>
    <row r="2" spans="1:8" ht="15.6">
      <c r="C2" s="16">
        <f>SUM(Tabelle1[Entre])</f>
        <v>1876825</v>
      </c>
      <c r="D2" s="16">
        <f>SUM(Tabelle1[Achat])</f>
        <v>1518150</v>
      </c>
      <c r="E2" s="16">
        <f>SUM(Tabelle1[autre depence])</f>
        <v>183000</v>
      </c>
      <c r="G2" s="17">
        <f>C2-D2-E2+B4</f>
        <v>515575</v>
      </c>
    </row>
    <row r="3" spans="1:8">
      <c r="A3" t="s">
        <v>79</v>
      </c>
      <c r="B3" t="s">
        <v>80</v>
      </c>
      <c r="C3" t="s">
        <v>81</v>
      </c>
      <c r="D3" t="s">
        <v>82</v>
      </c>
      <c r="E3" s="5" t="s">
        <v>83</v>
      </c>
      <c r="F3" t="s">
        <v>84</v>
      </c>
      <c r="G3" t="s">
        <v>85</v>
      </c>
    </row>
    <row r="4" spans="1:8">
      <c r="A4" s="4">
        <v>46174</v>
      </c>
      <c r="B4" s="5">
        <v>339900</v>
      </c>
      <c r="C4" s="5"/>
      <c r="D4" s="5"/>
      <c r="E4" s="5"/>
      <c r="F4" s="6"/>
      <c r="G4" s="6"/>
      <c r="H4" s="6"/>
    </row>
    <row r="5" spans="1:8">
      <c r="A5" s="4">
        <v>46174</v>
      </c>
      <c r="B5" s="5"/>
      <c r="C5" s="5"/>
      <c r="D5" s="5">
        <v>107200</v>
      </c>
      <c r="E5" s="5"/>
      <c r="F5" s="6"/>
      <c r="G5" s="6"/>
      <c r="H5" s="6"/>
    </row>
    <row r="6" spans="1:8">
      <c r="A6" s="4">
        <v>46174</v>
      </c>
      <c r="B6" s="5"/>
      <c r="C6" s="5"/>
      <c r="D6" s="5"/>
      <c r="E6" s="5">
        <v>50000</v>
      </c>
      <c r="F6" s="6" t="s">
        <v>56</v>
      </c>
      <c r="G6" s="6"/>
      <c r="H6" s="6"/>
    </row>
    <row r="7" spans="1:8">
      <c r="A7" s="4">
        <v>46174</v>
      </c>
      <c r="B7" s="5"/>
      <c r="C7" s="5"/>
      <c r="D7" s="5"/>
      <c r="E7" s="5">
        <v>3000</v>
      </c>
      <c r="F7" s="6" t="s">
        <v>57</v>
      </c>
      <c r="G7" s="6"/>
      <c r="H7" s="6"/>
    </row>
    <row r="8" spans="1:8">
      <c r="A8" s="4">
        <v>46175</v>
      </c>
      <c r="B8" s="5"/>
      <c r="C8" s="5">
        <v>15350</v>
      </c>
      <c r="D8" s="5"/>
      <c r="E8" s="5"/>
      <c r="F8" s="6"/>
      <c r="G8" s="6"/>
      <c r="H8" s="6"/>
    </row>
    <row r="9" spans="1:8">
      <c r="A9" s="4">
        <v>46176</v>
      </c>
      <c r="B9" s="5"/>
      <c r="C9" s="5">
        <v>17550</v>
      </c>
      <c r="D9" s="5"/>
      <c r="E9" s="5"/>
      <c r="F9" s="6"/>
      <c r="G9" s="6"/>
      <c r="H9" s="6"/>
    </row>
    <row r="10" spans="1:8">
      <c r="A10" s="4">
        <v>46176</v>
      </c>
      <c r="B10" s="5"/>
      <c r="C10" s="5"/>
      <c r="D10" s="5">
        <v>153800</v>
      </c>
      <c r="E10" s="5"/>
      <c r="F10" s="6"/>
      <c r="G10" s="6"/>
      <c r="H10" s="6"/>
    </row>
    <row r="11" spans="1:8">
      <c r="A11" s="4">
        <v>46176</v>
      </c>
      <c r="B11" s="5"/>
      <c r="C11" s="5"/>
      <c r="D11" s="5"/>
      <c r="E11" s="5">
        <v>1500</v>
      </c>
      <c r="F11" s="6" t="s">
        <v>58</v>
      </c>
      <c r="G11" s="6"/>
      <c r="H11" s="6"/>
    </row>
    <row r="12" spans="1:8">
      <c r="A12" s="4">
        <v>46177</v>
      </c>
      <c r="B12" s="5"/>
      <c r="C12" s="5">
        <v>9550</v>
      </c>
      <c r="D12" s="5">
        <v>27000</v>
      </c>
      <c r="E12" s="5"/>
      <c r="F12" s="6"/>
      <c r="G12" s="6"/>
      <c r="H12" s="6"/>
    </row>
    <row r="13" spans="1:8">
      <c r="A13" s="4">
        <v>46178</v>
      </c>
      <c r="B13" s="5"/>
      <c r="C13" s="5">
        <v>9500</v>
      </c>
      <c r="D13" s="5"/>
      <c r="E13" s="5">
        <v>2500</v>
      </c>
      <c r="F13" s="6" t="s">
        <v>58</v>
      </c>
      <c r="G13" s="6"/>
      <c r="H13" s="6"/>
    </row>
    <row r="14" spans="1:8">
      <c r="A14" s="4">
        <v>46179</v>
      </c>
      <c r="B14" s="5"/>
      <c r="C14" s="5">
        <v>82750</v>
      </c>
      <c r="D14" s="5">
        <v>70700</v>
      </c>
      <c r="E14" s="5"/>
      <c r="F14" s="6"/>
      <c r="G14" s="6"/>
      <c r="H14" s="6"/>
    </row>
    <row r="15" spans="1:8">
      <c r="A15" s="4">
        <v>46180</v>
      </c>
      <c r="B15" s="5"/>
      <c r="C15" s="5">
        <v>70100</v>
      </c>
      <c r="D15" s="5"/>
      <c r="E15" s="5"/>
      <c r="F15" s="6"/>
      <c r="G15" s="6"/>
      <c r="H15" s="6"/>
    </row>
    <row r="16" spans="1:8">
      <c r="A16" s="4">
        <v>46182</v>
      </c>
      <c r="B16" s="5"/>
      <c r="C16" s="5">
        <v>85400</v>
      </c>
      <c r="D16" s="5">
        <v>71300</v>
      </c>
      <c r="E16" s="5"/>
      <c r="F16" s="6"/>
      <c r="G16" s="6"/>
      <c r="H16" s="6"/>
    </row>
    <row r="17" spans="1:8">
      <c r="A17" s="4">
        <v>46183</v>
      </c>
      <c r="B17" s="5"/>
      <c r="C17" s="5">
        <v>34150</v>
      </c>
      <c r="D17" s="5">
        <v>151800</v>
      </c>
      <c r="E17" s="5"/>
      <c r="F17" s="6"/>
      <c r="G17" s="6"/>
      <c r="H17" s="6"/>
    </row>
    <row r="18" spans="1:8">
      <c r="A18" s="4">
        <v>46184</v>
      </c>
      <c r="B18" s="5"/>
      <c r="C18" s="5">
        <v>55850</v>
      </c>
      <c r="D18" s="5"/>
      <c r="E18" s="5">
        <v>10000</v>
      </c>
      <c r="F18" s="6" t="s">
        <v>86</v>
      </c>
      <c r="G18" s="6"/>
      <c r="H18" s="6"/>
    </row>
    <row r="19" spans="1:8">
      <c r="A19" s="4">
        <v>46185</v>
      </c>
      <c r="B19" s="5"/>
      <c r="C19" s="5">
        <v>12700</v>
      </c>
      <c r="D19" s="5"/>
      <c r="E19" s="5"/>
      <c r="F19" s="6"/>
      <c r="G19" s="6"/>
      <c r="H19" s="6"/>
    </row>
    <row r="20" spans="1:8">
      <c r="A20" s="4">
        <v>46186</v>
      </c>
      <c r="B20" s="5"/>
      <c r="C20" s="5">
        <v>45000</v>
      </c>
      <c r="D20" s="5"/>
      <c r="E20" s="5"/>
      <c r="F20" s="6"/>
      <c r="G20" s="6"/>
      <c r="H20" s="6"/>
    </row>
    <row r="21" spans="1:8">
      <c r="A21" s="4">
        <v>46187</v>
      </c>
      <c r="B21" s="5"/>
      <c r="C21" s="5">
        <v>16650</v>
      </c>
      <c r="D21" s="5"/>
      <c r="E21" s="5"/>
      <c r="F21" s="6"/>
      <c r="G21" s="6"/>
      <c r="H21" s="6"/>
    </row>
    <row r="22" spans="1:8">
      <c r="A22" s="4">
        <v>46189</v>
      </c>
      <c r="B22" s="6"/>
      <c r="C22" s="5">
        <v>45200</v>
      </c>
      <c r="D22" s="5">
        <v>137200</v>
      </c>
      <c r="E22" s="5"/>
      <c r="F22" s="6"/>
      <c r="G22" s="6"/>
      <c r="H22" s="6"/>
    </row>
    <row r="23" spans="1:8">
      <c r="A23" s="4">
        <v>46190</v>
      </c>
      <c r="B23" s="6"/>
      <c r="C23" s="5">
        <v>22100</v>
      </c>
      <c r="D23" s="5">
        <v>57000</v>
      </c>
      <c r="E23" s="5"/>
      <c r="F23" s="6"/>
      <c r="G23" s="6"/>
      <c r="H23" s="6"/>
    </row>
    <row r="24" spans="1:8">
      <c r="A24" s="4">
        <v>46191</v>
      </c>
      <c r="B24" s="6"/>
      <c r="C24" s="5">
        <v>37500</v>
      </c>
      <c r="D24" s="5">
        <v>24800</v>
      </c>
      <c r="E24" s="5">
        <v>500</v>
      </c>
      <c r="F24" s="6" t="s">
        <v>150</v>
      </c>
      <c r="G24" s="6"/>
      <c r="H24" s="6"/>
    </row>
    <row r="25" spans="1:8">
      <c r="A25" s="4">
        <v>46192</v>
      </c>
      <c r="B25" s="6"/>
      <c r="C25" s="5">
        <v>43500</v>
      </c>
      <c r="D25" s="5"/>
      <c r="E25" s="5">
        <v>30000</v>
      </c>
      <c r="F25" s="6" t="s">
        <v>153</v>
      </c>
      <c r="G25" s="6"/>
      <c r="H25" s="6"/>
    </row>
    <row r="26" spans="1:8">
      <c r="A26" s="4">
        <v>46193</v>
      </c>
      <c r="B26" s="6"/>
      <c r="C26" s="5">
        <v>51600</v>
      </c>
      <c r="D26" s="5"/>
      <c r="E26" s="5"/>
      <c r="F26" s="6"/>
      <c r="G26" s="6"/>
      <c r="H26" s="6"/>
    </row>
    <row r="27" spans="1:8">
      <c r="A27" s="4">
        <v>46194</v>
      </c>
      <c r="B27" s="6"/>
      <c r="C27" s="5">
        <v>15400</v>
      </c>
      <c r="D27" s="5"/>
      <c r="E27" s="5"/>
      <c r="F27" s="6"/>
      <c r="G27" s="6"/>
      <c r="H27" s="6"/>
    </row>
    <row r="28" spans="1:8">
      <c r="A28" s="4">
        <v>46196</v>
      </c>
      <c r="B28" s="6"/>
      <c r="C28" s="5">
        <v>63850</v>
      </c>
      <c r="D28" s="5"/>
      <c r="E28" s="5"/>
      <c r="F28" s="6"/>
      <c r="G28" s="6"/>
      <c r="H28" s="6"/>
    </row>
    <row r="29" spans="1:8">
      <c r="A29" s="4">
        <v>46197</v>
      </c>
      <c r="B29" s="6"/>
      <c r="C29" s="5">
        <v>16725</v>
      </c>
      <c r="D29" s="5">
        <v>7050</v>
      </c>
      <c r="E29" s="5"/>
      <c r="F29" s="6"/>
      <c r="G29" s="6"/>
      <c r="H29" s="6"/>
    </row>
    <row r="30" spans="1:8">
      <c r="A30" s="4">
        <v>46198</v>
      </c>
      <c r="B30" s="6"/>
      <c r="C30" s="5">
        <v>35300</v>
      </c>
      <c r="D30" s="5"/>
      <c r="E30" s="5"/>
      <c r="F30" s="6"/>
      <c r="G30" s="6"/>
      <c r="H30" s="6"/>
    </row>
    <row r="31" spans="1:8">
      <c r="A31" s="4">
        <v>46199</v>
      </c>
      <c r="B31" s="6"/>
      <c r="C31" s="5">
        <v>111875</v>
      </c>
      <c r="D31" s="5">
        <v>51000</v>
      </c>
      <c r="E31" s="5"/>
      <c r="F31" s="6"/>
      <c r="G31" s="6"/>
      <c r="H31" s="6"/>
    </row>
    <row r="32" spans="1:8">
      <c r="A32" s="4">
        <v>46200</v>
      </c>
      <c r="B32" s="6"/>
      <c r="C32" s="5">
        <v>63150</v>
      </c>
      <c r="D32" s="5">
        <v>51000</v>
      </c>
      <c r="E32" s="5"/>
      <c r="F32" s="6"/>
      <c r="G32" s="6"/>
      <c r="H32" s="6"/>
    </row>
    <row r="33" spans="1:8">
      <c r="A33" s="4">
        <v>46201</v>
      </c>
      <c r="B33" s="6"/>
      <c r="C33" s="5">
        <v>54350</v>
      </c>
      <c r="D33" s="5"/>
      <c r="E33" s="5">
        <v>2000</v>
      </c>
      <c r="F33" s="6" t="s">
        <v>377</v>
      </c>
      <c r="G33" s="6"/>
      <c r="H33" s="6"/>
    </row>
    <row r="34" spans="1:8">
      <c r="A34" s="4">
        <v>46203</v>
      </c>
      <c r="B34" s="6"/>
      <c r="C34" s="5">
        <v>147650</v>
      </c>
      <c r="D34" s="5"/>
      <c r="E34" s="5">
        <v>8000</v>
      </c>
      <c r="F34" s="6" t="s">
        <v>378</v>
      </c>
      <c r="G34" s="6"/>
      <c r="H34" s="6"/>
    </row>
    <row r="35" spans="1:8">
      <c r="A35" s="4">
        <v>46204</v>
      </c>
      <c r="B35" s="6"/>
      <c r="C35" s="5">
        <v>20925</v>
      </c>
      <c r="D35" s="5">
        <f>174300+15600</f>
        <v>189900</v>
      </c>
      <c r="E35" s="5"/>
      <c r="F35" s="6"/>
      <c r="G35" s="6"/>
      <c r="H35" s="6"/>
    </row>
    <row r="36" spans="1:8">
      <c r="A36" s="4">
        <v>46205</v>
      </c>
      <c r="B36" s="6"/>
      <c r="C36" s="5">
        <v>20775</v>
      </c>
      <c r="D36" s="5"/>
      <c r="E36" s="5"/>
      <c r="F36" s="6"/>
      <c r="G36" s="6"/>
      <c r="H36" s="5"/>
    </row>
    <row r="37" spans="1:8">
      <c r="A37" s="4">
        <v>46206</v>
      </c>
      <c r="B37" s="6"/>
      <c r="C37" s="5">
        <v>72775</v>
      </c>
      <c r="D37" s="5"/>
      <c r="E37" s="5"/>
      <c r="F37" s="6"/>
      <c r="G37" s="6"/>
      <c r="H37" s="6"/>
    </row>
    <row r="38" spans="1:8">
      <c r="A38" s="4">
        <v>46207</v>
      </c>
      <c r="B38" s="6"/>
      <c r="C38" s="5">
        <v>43575</v>
      </c>
      <c r="D38" s="5"/>
      <c r="E38" s="5"/>
      <c r="F38" s="6"/>
      <c r="G38" s="6"/>
      <c r="H38" s="6"/>
    </row>
    <row r="39" spans="1:8">
      <c r="A39" s="4">
        <v>46208</v>
      </c>
      <c r="B39" s="6"/>
      <c r="C39" s="5">
        <v>74075</v>
      </c>
      <c r="D39" s="5"/>
      <c r="E39" s="5"/>
      <c r="F39" s="6"/>
      <c r="G39" s="6"/>
      <c r="H39" s="6"/>
    </row>
    <row r="40" spans="1:8">
      <c r="A40" s="4">
        <v>46210</v>
      </c>
      <c r="B40" s="6"/>
      <c r="C40" s="5">
        <v>41550</v>
      </c>
      <c r="D40" s="5">
        <v>155900</v>
      </c>
      <c r="E40" s="5">
        <v>50000</v>
      </c>
      <c r="F40" s="6" t="s">
        <v>56</v>
      </c>
      <c r="G40" s="6"/>
      <c r="H40" s="6"/>
    </row>
    <row r="41" spans="1:8">
      <c r="A41" s="4"/>
      <c r="B41" s="6"/>
      <c r="C41" s="5">
        <v>15000</v>
      </c>
      <c r="D41" s="5"/>
      <c r="E41" s="5"/>
      <c r="F41" s="6"/>
      <c r="G41" s="6"/>
      <c r="H41" s="6"/>
    </row>
    <row r="42" spans="1:8">
      <c r="A42" s="4">
        <v>46211</v>
      </c>
      <c r="B42" s="6"/>
      <c r="C42" s="5">
        <v>36200</v>
      </c>
      <c r="D42" s="5"/>
      <c r="E42" s="5">
        <v>25000</v>
      </c>
      <c r="F42" s="6" t="s">
        <v>425</v>
      </c>
      <c r="G42" s="6"/>
      <c r="H42" s="6"/>
    </row>
    <row r="43" spans="1:8">
      <c r="A43" s="4">
        <v>46212</v>
      </c>
      <c r="B43" s="6"/>
      <c r="C43" s="5">
        <v>59050</v>
      </c>
      <c r="D43" s="5"/>
      <c r="E43" s="5">
        <v>500</v>
      </c>
      <c r="F43" s="6" t="s">
        <v>150</v>
      </c>
      <c r="G43" s="6"/>
      <c r="H43" s="6"/>
    </row>
    <row r="44" spans="1:8">
      <c r="A44" s="4">
        <v>46213</v>
      </c>
      <c r="B44" s="6"/>
      <c r="C44" s="5">
        <v>36625</v>
      </c>
      <c r="D44" s="5"/>
      <c r="E44" s="5"/>
      <c r="F44" s="6"/>
      <c r="G44" s="6"/>
      <c r="H44" s="6"/>
    </row>
    <row r="45" spans="1:8">
      <c r="A45" s="4">
        <v>46214</v>
      </c>
      <c r="B45" s="6"/>
      <c r="C45" s="5">
        <v>49800</v>
      </c>
      <c r="D45" s="5"/>
      <c r="E45" s="5"/>
      <c r="F45" s="6"/>
      <c r="G45" s="6"/>
      <c r="H45" s="6"/>
    </row>
    <row r="46" spans="1:8">
      <c r="A46" s="4">
        <v>46215</v>
      </c>
      <c r="B46" s="6"/>
      <c r="C46" s="5">
        <v>10050</v>
      </c>
      <c r="D46" s="5"/>
      <c r="E46" s="5"/>
      <c r="F46" s="6"/>
      <c r="G46" s="6"/>
      <c r="H46" s="6"/>
    </row>
    <row r="47" spans="1:8">
      <c r="A47" s="4">
        <v>46217</v>
      </c>
      <c r="B47" s="6"/>
      <c r="C47" s="5">
        <v>44475</v>
      </c>
      <c r="D47" s="5"/>
      <c r="E47" s="5"/>
      <c r="F47" s="6"/>
      <c r="G47" s="6"/>
      <c r="H47" s="6"/>
    </row>
    <row r="48" spans="1:8">
      <c r="A48" s="4">
        <v>46218</v>
      </c>
      <c r="B48" s="6"/>
      <c r="C48" s="5">
        <v>28750</v>
      </c>
      <c r="D48" s="5">
        <v>183400</v>
      </c>
      <c r="E48" s="5"/>
      <c r="F48" s="6"/>
      <c r="G48" s="6"/>
      <c r="H48" s="6"/>
    </row>
    <row r="49" spans="1:8">
      <c r="A49" s="4">
        <v>46219</v>
      </c>
      <c r="B49" s="6"/>
      <c r="C49" s="5">
        <v>34700</v>
      </c>
      <c r="D49" s="5"/>
      <c r="E49" s="5"/>
      <c r="F49" s="6"/>
      <c r="G49" s="6"/>
      <c r="H49" s="6"/>
    </row>
    <row r="50" spans="1:8">
      <c r="A50" s="4">
        <v>46220</v>
      </c>
      <c r="B50" s="6"/>
      <c r="C50" s="5">
        <v>52100</v>
      </c>
      <c r="D50" s="5">
        <v>49700</v>
      </c>
      <c r="E50" s="5"/>
      <c r="F50" s="6"/>
      <c r="G50" s="6"/>
      <c r="H50" s="6"/>
    </row>
    <row r="51" spans="1:8">
      <c r="A51" s="4">
        <v>46221</v>
      </c>
      <c r="B51" s="6"/>
      <c r="C51" s="5">
        <v>51750</v>
      </c>
      <c r="D51" s="5"/>
      <c r="E51" s="5"/>
      <c r="F51" s="6"/>
      <c r="G51" s="6"/>
      <c r="H51" s="6"/>
    </row>
    <row r="52" spans="1:8">
      <c r="A52" s="4">
        <v>46222</v>
      </c>
      <c r="B52" s="6"/>
      <c r="C52" s="5">
        <v>21900</v>
      </c>
      <c r="D52" s="5">
        <v>29400</v>
      </c>
      <c r="E52" s="5"/>
      <c r="F52" s="6"/>
      <c r="G52" s="6"/>
      <c r="H52" s="6"/>
    </row>
    <row r="53" spans="1:8">
      <c r="A53" s="4"/>
      <c r="B53" s="6"/>
      <c r="C53" s="5"/>
      <c r="D53" s="5"/>
      <c r="E53" s="5"/>
      <c r="F53" s="6"/>
      <c r="G53" s="6"/>
      <c r="H53" s="6"/>
    </row>
    <row r="54" spans="1:8">
      <c r="A54" s="4"/>
      <c r="B54" s="6"/>
      <c r="C54" s="5"/>
      <c r="D54" s="5"/>
      <c r="E54" s="5"/>
      <c r="F54" s="6"/>
      <c r="G54" s="6"/>
      <c r="H54" s="6"/>
    </row>
    <row r="55" spans="1:8">
      <c r="A55" s="4"/>
      <c r="B55" s="6"/>
      <c r="C55" s="5"/>
      <c r="D55" s="5"/>
      <c r="E55" s="5"/>
      <c r="F55" s="6"/>
      <c r="G55" s="6"/>
      <c r="H55" s="6"/>
    </row>
    <row r="56" spans="1:8">
      <c r="A56" s="4"/>
      <c r="B56" s="6"/>
      <c r="C56" s="5"/>
      <c r="D56" s="5"/>
      <c r="E56" s="5"/>
      <c r="F56" s="6"/>
      <c r="G56" s="6"/>
      <c r="H56" s="6"/>
    </row>
    <row r="57" spans="1:8">
      <c r="A57" s="4"/>
      <c r="B57" s="6"/>
      <c r="C57" s="5"/>
      <c r="D57" s="5"/>
      <c r="E57" s="5"/>
      <c r="F57" s="6"/>
      <c r="G57" s="6"/>
      <c r="H57" s="6"/>
    </row>
    <row r="58" spans="1:8">
      <c r="A58" s="4"/>
      <c r="B58" s="6"/>
      <c r="C58" s="5"/>
      <c r="D58" s="5"/>
      <c r="E58" s="5"/>
      <c r="F58" s="6"/>
      <c r="G58" s="6"/>
      <c r="H58" s="6"/>
    </row>
    <row r="59" spans="1:8">
      <c r="A59" s="4"/>
      <c r="B59" s="6"/>
      <c r="C59" s="5"/>
      <c r="D59" s="5"/>
      <c r="E59" s="5"/>
      <c r="F59" s="6"/>
      <c r="G59" s="6"/>
      <c r="H59" s="6"/>
    </row>
    <row r="60" spans="1:8">
      <c r="A60" s="4"/>
      <c r="B60" s="6"/>
      <c r="C60" s="5"/>
      <c r="D60" s="5"/>
      <c r="E60" s="5"/>
      <c r="F60" s="6"/>
      <c r="G60" s="6"/>
      <c r="H60" s="6"/>
    </row>
    <row r="61" spans="1:8">
      <c r="A61" s="4"/>
      <c r="B61" s="6"/>
      <c r="C61" s="5"/>
      <c r="D61" s="5"/>
      <c r="E61" s="5"/>
      <c r="F61" s="6"/>
      <c r="G61" s="6"/>
      <c r="H61" s="6"/>
    </row>
    <row r="62" spans="1:8">
      <c r="A62" s="4"/>
      <c r="B62" s="6"/>
      <c r="C62" s="5"/>
      <c r="D62" s="5"/>
      <c r="E62" s="5"/>
      <c r="F62" s="6"/>
      <c r="G62" s="6"/>
      <c r="H62" s="6"/>
    </row>
    <row r="63" spans="1:8">
      <c r="A63" s="4"/>
      <c r="B63" s="6"/>
      <c r="C63" s="5"/>
      <c r="D63" s="5"/>
      <c r="E63" s="5"/>
      <c r="F63" s="6"/>
      <c r="G63" s="6"/>
      <c r="H63" s="6"/>
    </row>
    <row r="64" spans="1:8">
      <c r="A64" s="4"/>
      <c r="B64" s="6"/>
      <c r="C64" s="5"/>
      <c r="D64" s="5"/>
      <c r="E64" s="5"/>
      <c r="F64" s="6"/>
      <c r="G64" s="6"/>
      <c r="H64" s="6"/>
    </row>
    <row r="65" spans="1:8">
      <c r="A65" s="4"/>
      <c r="B65" s="6"/>
      <c r="C65" s="5"/>
      <c r="D65" s="5"/>
      <c r="E65" s="5"/>
      <c r="F65" s="6"/>
      <c r="G65" s="6"/>
      <c r="H65" s="6"/>
    </row>
    <row r="66" spans="1:8">
      <c r="A66" s="4"/>
      <c r="B66" s="6"/>
      <c r="C66" s="5"/>
      <c r="D66" s="5"/>
      <c r="E66" s="5"/>
      <c r="F66" s="6"/>
      <c r="G66" s="6"/>
      <c r="H66" s="6"/>
    </row>
    <row r="67" spans="1:8">
      <c r="A67" s="4"/>
      <c r="B67" s="6"/>
      <c r="C67" s="5"/>
      <c r="D67" s="5"/>
      <c r="E67" s="5"/>
      <c r="F67" s="6"/>
      <c r="G67" s="6"/>
      <c r="H67" s="6"/>
    </row>
    <row r="68" spans="1:8">
      <c r="A68" s="4"/>
      <c r="B68" s="6"/>
      <c r="C68" s="5"/>
      <c r="D68" s="5"/>
      <c r="E68" s="5"/>
      <c r="F68" s="6"/>
      <c r="G68" s="6"/>
      <c r="H68" s="6"/>
    </row>
    <row r="69" spans="1:8">
      <c r="A69" s="4"/>
      <c r="B69" s="6"/>
      <c r="C69" s="5"/>
      <c r="D69" s="5"/>
      <c r="E69" s="5"/>
      <c r="F69" s="6"/>
      <c r="G69" s="6"/>
      <c r="H69" s="6"/>
    </row>
    <row r="70" spans="1:8">
      <c r="A70" s="4"/>
      <c r="B70" s="6"/>
      <c r="C70" s="5"/>
      <c r="D70" s="5"/>
      <c r="E70" s="5"/>
      <c r="F70" s="6"/>
      <c r="G70" s="6"/>
      <c r="H70" s="6"/>
    </row>
    <row r="71" spans="1:8">
      <c r="A71" s="4"/>
      <c r="B71" s="6"/>
      <c r="C71" s="5"/>
      <c r="D71" s="5"/>
      <c r="E71" s="5"/>
      <c r="F71" s="6"/>
      <c r="G71" s="6"/>
      <c r="H71" s="6"/>
    </row>
    <row r="72" spans="1:8">
      <c r="A72" s="4"/>
      <c r="B72" s="6"/>
      <c r="C72" s="5"/>
      <c r="D72" s="5"/>
      <c r="E72" s="5"/>
      <c r="F72" s="6"/>
      <c r="G72" s="6"/>
      <c r="H72" s="6"/>
    </row>
    <row r="73" spans="1:8">
      <c r="A73" s="4"/>
      <c r="B73" s="6"/>
      <c r="C73" s="5"/>
      <c r="D73" s="5"/>
      <c r="E73" s="5"/>
      <c r="F73" s="6"/>
      <c r="G73" s="6"/>
      <c r="H73" s="6"/>
    </row>
    <row r="74" spans="1:8">
      <c r="A74" s="4"/>
      <c r="B74" s="6"/>
      <c r="C74" s="5"/>
      <c r="D74" s="5"/>
      <c r="E74" s="5"/>
      <c r="F74" s="6"/>
      <c r="G74" s="6"/>
      <c r="H74" s="6"/>
    </row>
    <row r="75" spans="1:8">
      <c r="A75" s="4"/>
      <c r="B75" s="6"/>
      <c r="C75" s="5"/>
      <c r="D75" s="5"/>
      <c r="E75" s="5"/>
      <c r="F75" s="6"/>
      <c r="G75" s="6"/>
      <c r="H75" s="6"/>
    </row>
    <row r="76" spans="1:8">
      <c r="A76" s="4"/>
      <c r="B76" s="6"/>
      <c r="C76" s="5"/>
      <c r="D76" s="5"/>
      <c r="E76" s="5"/>
      <c r="F76" s="6"/>
      <c r="G76" s="6"/>
      <c r="H76" s="6"/>
    </row>
    <row r="77" spans="1:8">
      <c r="A77" s="4"/>
      <c r="B77" s="6"/>
      <c r="C77" s="5"/>
      <c r="D77" s="5"/>
      <c r="E77" s="5"/>
      <c r="F77" s="6"/>
      <c r="G77" s="6"/>
      <c r="H77" s="6"/>
    </row>
  </sheetData>
  <mergeCells count="1">
    <mergeCell ref="C1:E1"/>
  </mergeCell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4D1C-2E80-4DE3-8E8B-F8D8DAC1CAD9}">
  <dimension ref="A1:F33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E1" sqref="E1"/>
    </sheetView>
  </sheetViews>
  <sheetFormatPr baseColWidth="10" defaultRowHeight="14.4"/>
  <sheetData>
    <row r="1" spans="1:6">
      <c r="A1" t="s">
        <v>112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>
      <c r="A2" s="8">
        <v>46173</v>
      </c>
      <c r="B2">
        <f>DAY(A2)</f>
        <v>31</v>
      </c>
      <c r="C2">
        <f>MONTH(A2)</f>
        <v>5</v>
      </c>
      <c r="D2">
        <f>YEAR(A2)</f>
        <v>2026</v>
      </c>
      <c r="E2" t="str">
        <f>"T"&amp;ROUNDUP(MONTH(A2)/3,0)</f>
        <v>T2</v>
      </c>
      <c r="F2" t="str">
        <f>TEXT(A2,"MMMM")</f>
        <v>Mai</v>
      </c>
    </row>
    <row r="3" spans="1:6">
      <c r="A3" s="8">
        <v>46174</v>
      </c>
      <c r="B3">
        <f t="shared" ref="B3:B33" si="0">DAY(A3)</f>
        <v>1</v>
      </c>
      <c r="C3">
        <f t="shared" ref="C3:C33" si="1">MONTH(A3)</f>
        <v>6</v>
      </c>
      <c r="D3">
        <f t="shared" ref="D3:D33" si="2">YEAR(A3)</f>
        <v>2026</v>
      </c>
      <c r="E3" t="str">
        <f t="shared" ref="E3:E33" si="3">"T"&amp;ROUNDUP(MONTH(A3)/3,0)</f>
        <v>T2</v>
      </c>
      <c r="F3" t="str">
        <f t="shared" ref="F3:F33" si="4">TEXT(A3,"MMMM")</f>
        <v>Juni</v>
      </c>
    </row>
    <row r="4" spans="1:6">
      <c r="A4" s="8">
        <v>46175</v>
      </c>
      <c r="B4">
        <f t="shared" si="0"/>
        <v>2</v>
      </c>
      <c r="C4">
        <f t="shared" si="1"/>
        <v>6</v>
      </c>
      <c r="D4">
        <f t="shared" si="2"/>
        <v>2026</v>
      </c>
      <c r="E4" t="str">
        <f t="shared" si="3"/>
        <v>T2</v>
      </c>
      <c r="F4" t="str">
        <f t="shared" si="4"/>
        <v>Juni</v>
      </c>
    </row>
    <row r="5" spans="1:6">
      <c r="A5" s="8">
        <v>46176</v>
      </c>
      <c r="B5">
        <f t="shared" si="0"/>
        <v>3</v>
      </c>
      <c r="C5">
        <f t="shared" si="1"/>
        <v>6</v>
      </c>
      <c r="D5">
        <f t="shared" si="2"/>
        <v>2026</v>
      </c>
      <c r="E5" t="str">
        <f t="shared" si="3"/>
        <v>T2</v>
      </c>
      <c r="F5" t="str">
        <f t="shared" si="4"/>
        <v>Juni</v>
      </c>
    </row>
    <row r="6" spans="1:6">
      <c r="A6" s="8">
        <v>46177</v>
      </c>
      <c r="B6">
        <f t="shared" si="0"/>
        <v>4</v>
      </c>
      <c r="C6">
        <f t="shared" si="1"/>
        <v>6</v>
      </c>
      <c r="D6">
        <f t="shared" si="2"/>
        <v>2026</v>
      </c>
      <c r="E6" t="str">
        <f t="shared" si="3"/>
        <v>T2</v>
      </c>
      <c r="F6" t="str">
        <f t="shared" si="4"/>
        <v>Juni</v>
      </c>
    </row>
    <row r="7" spans="1:6">
      <c r="A7" s="8">
        <v>46178</v>
      </c>
      <c r="B7">
        <f t="shared" si="0"/>
        <v>5</v>
      </c>
      <c r="C7">
        <f t="shared" si="1"/>
        <v>6</v>
      </c>
      <c r="D7">
        <f t="shared" si="2"/>
        <v>2026</v>
      </c>
      <c r="E7" t="str">
        <f t="shared" si="3"/>
        <v>T2</v>
      </c>
      <c r="F7" t="str">
        <f t="shared" si="4"/>
        <v>Juni</v>
      </c>
    </row>
    <row r="8" spans="1:6">
      <c r="A8" s="8">
        <v>46179</v>
      </c>
      <c r="B8">
        <f t="shared" si="0"/>
        <v>6</v>
      </c>
      <c r="C8">
        <f t="shared" si="1"/>
        <v>6</v>
      </c>
      <c r="D8">
        <f t="shared" si="2"/>
        <v>2026</v>
      </c>
      <c r="E8" t="str">
        <f t="shared" si="3"/>
        <v>T2</v>
      </c>
      <c r="F8" t="str">
        <f t="shared" si="4"/>
        <v>Juni</v>
      </c>
    </row>
    <row r="9" spans="1:6">
      <c r="A9" s="8">
        <v>46180</v>
      </c>
      <c r="B9">
        <f t="shared" si="0"/>
        <v>7</v>
      </c>
      <c r="C9">
        <f t="shared" si="1"/>
        <v>6</v>
      </c>
      <c r="D9">
        <f t="shared" si="2"/>
        <v>2026</v>
      </c>
      <c r="E9" t="str">
        <f t="shared" si="3"/>
        <v>T2</v>
      </c>
      <c r="F9" t="str">
        <f t="shared" si="4"/>
        <v>Juni</v>
      </c>
    </row>
    <row r="10" spans="1:6">
      <c r="A10" s="8">
        <v>46181</v>
      </c>
      <c r="B10">
        <f t="shared" si="0"/>
        <v>8</v>
      </c>
      <c r="C10">
        <f t="shared" si="1"/>
        <v>6</v>
      </c>
      <c r="D10">
        <f t="shared" si="2"/>
        <v>2026</v>
      </c>
      <c r="E10" t="str">
        <f t="shared" si="3"/>
        <v>T2</v>
      </c>
      <c r="F10" t="str">
        <f t="shared" si="4"/>
        <v>Juni</v>
      </c>
    </row>
    <row r="11" spans="1:6">
      <c r="A11" s="8">
        <v>46182</v>
      </c>
      <c r="B11">
        <f t="shared" si="0"/>
        <v>9</v>
      </c>
      <c r="C11">
        <f t="shared" si="1"/>
        <v>6</v>
      </c>
      <c r="D11">
        <f t="shared" si="2"/>
        <v>2026</v>
      </c>
      <c r="E11" t="str">
        <f t="shared" si="3"/>
        <v>T2</v>
      </c>
      <c r="F11" t="str">
        <f t="shared" si="4"/>
        <v>Juni</v>
      </c>
    </row>
    <row r="12" spans="1:6">
      <c r="A12" s="8">
        <v>46183</v>
      </c>
      <c r="B12">
        <f t="shared" si="0"/>
        <v>10</v>
      </c>
      <c r="C12">
        <f t="shared" si="1"/>
        <v>6</v>
      </c>
      <c r="D12">
        <f t="shared" si="2"/>
        <v>2026</v>
      </c>
      <c r="E12" t="str">
        <f t="shared" si="3"/>
        <v>T2</v>
      </c>
      <c r="F12" t="str">
        <f t="shared" si="4"/>
        <v>Juni</v>
      </c>
    </row>
    <row r="13" spans="1:6">
      <c r="A13" s="8">
        <v>46184</v>
      </c>
      <c r="B13">
        <f t="shared" si="0"/>
        <v>11</v>
      </c>
      <c r="C13">
        <f t="shared" si="1"/>
        <v>6</v>
      </c>
      <c r="D13">
        <f t="shared" si="2"/>
        <v>2026</v>
      </c>
      <c r="E13" t="str">
        <f t="shared" si="3"/>
        <v>T2</v>
      </c>
      <c r="F13" t="str">
        <f t="shared" si="4"/>
        <v>Juni</v>
      </c>
    </row>
    <row r="14" spans="1:6">
      <c r="A14" s="8">
        <v>46185</v>
      </c>
      <c r="B14">
        <f t="shared" si="0"/>
        <v>12</v>
      </c>
      <c r="C14">
        <f t="shared" si="1"/>
        <v>6</v>
      </c>
      <c r="D14">
        <f t="shared" si="2"/>
        <v>2026</v>
      </c>
      <c r="E14" t="str">
        <f t="shared" si="3"/>
        <v>T2</v>
      </c>
      <c r="F14" t="str">
        <f t="shared" si="4"/>
        <v>Juni</v>
      </c>
    </row>
    <row r="15" spans="1:6">
      <c r="A15" s="8">
        <v>46186</v>
      </c>
      <c r="B15">
        <f t="shared" si="0"/>
        <v>13</v>
      </c>
      <c r="C15">
        <f t="shared" si="1"/>
        <v>6</v>
      </c>
      <c r="D15">
        <f t="shared" si="2"/>
        <v>2026</v>
      </c>
      <c r="E15" t="str">
        <f t="shared" si="3"/>
        <v>T2</v>
      </c>
      <c r="F15" t="str">
        <f t="shared" si="4"/>
        <v>Juni</v>
      </c>
    </row>
    <row r="16" spans="1:6">
      <c r="A16" s="8">
        <v>46187</v>
      </c>
      <c r="B16">
        <f t="shared" si="0"/>
        <v>14</v>
      </c>
      <c r="C16">
        <f t="shared" si="1"/>
        <v>6</v>
      </c>
      <c r="D16">
        <f t="shared" si="2"/>
        <v>2026</v>
      </c>
      <c r="E16" t="str">
        <f t="shared" si="3"/>
        <v>T2</v>
      </c>
      <c r="F16" t="str">
        <f t="shared" si="4"/>
        <v>Juni</v>
      </c>
    </row>
    <row r="17" spans="1:6">
      <c r="A17" s="8">
        <v>46188</v>
      </c>
      <c r="B17">
        <f t="shared" si="0"/>
        <v>15</v>
      </c>
      <c r="C17">
        <f t="shared" si="1"/>
        <v>6</v>
      </c>
      <c r="D17">
        <f t="shared" si="2"/>
        <v>2026</v>
      </c>
      <c r="E17" t="str">
        <f t="shared" si="3"/>
        <v>T2</v>
      </c>
      <c r="F17" t="str">
        <f t="shared" si="4"/>
        <v>Juni</v>
      </c>
    </row>
    <row r="18" spans="1:6">
      <c r="A18" s="8">
        <v>46189</v>
      </c>
      <c r="B18">
        <f t="shared" si="0"/>
        <v>16</v>
      </c>
      <c r="C18">
        <f t="shared" si="1"/>
        <v>6</v>
      </c>
      <c r="D18">
        <f t="shared" si="2"/>
        <v>2026</v>
      </c>
      <c r="E18" t="str">
        <f t="shared" si="3"/>
        <v>T2</v>
      </c>
      <c r="F18" t="str">
        <f t="shared" si="4"/>
        <v>Juni</v>
      </c>
    </row>
    <row r="19" spans="1:6">
      <c r="A19" s="8">
        <v>46190</v>
      </c>
      <c r="B19">
        <f t="shared" si="0"/>
        <v>17</v>
      </c>
      <c r="C19">
        <f t="shared" si="1"/>
        <v>6</v>
      </c>
      <c r="D19">
        <f t="shared" si="2"/>
        <v>2026</v>
      </c>
      <c r="E19" t="str">
        <f t="shared" si="3"/>
        <v>T2</v>
      </c>
      <c r="F19" t="str">
        <f t="shared" si="4"/>
        <v>Juni</v>
      </c>
    </row>
    <row r="20" spans="1:6">
      <c r="A20" s="8">
        <v>46191</v>
      </c>
      <c r="B20">
        <f t="shared" si="0"/>
        <v>18</v>
      </c>
      <c r="C20">
        <f t="shared" si="1"/>
        <v>6</v>
      </c>
      <c r="D20">
        <f t="shared" si="2"/>
        <v>2026</v>
      </c>
      <c r="E20" t="str">
        <f t="shared" si="3"/>
        <v>T2</v>
      </c>
      <c r="F20" t="str">
        <f t="shared" si="4"/>
        <v>Juni</v>
      </c>
    </row>
    <row r="21" spans="1:6">
      <c r="A21" s="8">
        <v>46192</v>
      </c>
      <c r="B21">
        <f t="shared" si="0"/>
        <v>19</v>
      </c>
      <c r="C21">
        <f t="shared" si="1"/>
        <v>6</v>
      </c>
      <c r="D21">
        <f t="shared" si="2"/>
        <v>2026</v>
      </c>
      <c r="E21" t="str">
        <f t="shared" si="3"/>
        <v>T2</v>
      </c>
      <c r="F21" t="str">
        <f t="shared" si="4"/>
        <v>Juni</v>
      </c>
    </row>
    <row r="22" spans="1:6">
      <c r="A22" s="8">
        <v>46193</v>
      </c>
      <c r="B22">
        <f t="shared" si="0"/>
        <v>20</v>
      </c>
      <c r="C22">
        <f t="shared" si="1"/>
        <v>6</v>
      </c>
      <c r="D22">
        <f t="shared" si="2"/>
        <v>2026</v>
      </c>
      <c r="E22" t="str">
        <f t="shared" si="3"/>
        <v>T2</v>
      </c>
      <c r="F22" t="str">
        <f t="shared" si="4"/>
        <v>Juni</v>
      </c>
    </row>
    <row r="23" spans="1:6">
      <c r="A23" s="8">
        <v>46194</v>
      </c>
      <c r="B23">
        <f t="shared" si="0"/>
        <v>21</v>
      </c>
      <c r="C23">
        <f t="shared" si="1"/>
        <v>6</v>
      </c>
      <c r="D23">
        <f t="shared" si="2"/>
        <v>2026</v>
      </c>
      <c r="E23" t="str">
        <f t="shared" si="3"/>
        <v>T2</v>
      </c>
      <c r="F23" t="str">
        <f t="shared" si="4"/>
        <v>Juni</v>
      </c>
    </row>
    <row r="24" spans="1:6">
      <c r="A24" s="8">
        <v>46195</v>
      </c>
      <c r="B24">
        <f t="shared" si="0"/>
        <v>22</v>
      </c>
      <c r="C24">
        <f t="shared" si="1"/>
        <v>6</v>
      </c>
      <c r="D24">
        <f t="shared" si="2"/>
        <v>2026</v>
      </c>
      <c r="E24" t="str">
        <f t="shared" si="3"/>
        <v>T2</v>
      </c>
      <c r="F24" t="str">
        <f t="shared" si="4"/>
        <v>Juni</v>
      </c>
    </row>
    <row r="25" spans="1:6">
      <c r="A25" s="8">
        <v>46196</v>
      </c>
      <c r="B25">
        <f t="shared" si="0"/>
        <v>23</v>
      </c>
      <c r="C25">
        <f t="shared" si="1"/>
        <v>6</v>
      </c>
      <c r="D25">
        <f t="shared" si="2"/>
        <v>2026</v>
      </c>
      <c r="E25" t="str">
        <f t="shared" si="3"/>
        <v>T2</v>
      </c>
      <c r="F25" t="str">
        <f t="shared" si="4"/>
        <v>Juni</v>
      </c>
    </row>
    <row r="26" spans="1:6">
      <c r="A26" s="8">
        <v>46197</v>
      </c>
      <c r="B26">
        <f t="shared" si="0"/>
        <v>24</v>
      </c>
      <c r="C26">
        <f t="shared" si="1"/>
        <v>6</v>
      </c>
      <c r="D26">
        <f t="shared" si="2"/>
        <v>2026</v>
      </c>
      <c r="E26" t="str">
        <f t="shared" si="3"/>
        <v>T2</v>
      </c>
      <c r="F26" t="str">
        <f t="shared" si="4"/>
        <v>Juni</v>
      </c>
    </row>
    <row r="27" spans="1:6">
      <c r="A27" s="8">
        <v>46198</v>
      </c>
      <c r="B27">
        <f t="shared" si="0"/>
        <v>25</v>
      </c>
      <c r="C27">
        <f t="shared" si="1"/>
        <v>6</v>
      </c>
      <c r="D27">
        <f t="shared" si="2"/>
        <v>2026</v>
      </c>
      <c r="E27" t="str">
        <f t="shared" si="3"/>
        <v>T2</v>
      </c>
      <c r="F27" t="str">
        <f t="shared" si="4"/>
        <v>Juni</v>
      </c>
    </row>
    <row r="28" spans="1:6">
      <c r="A28" s="8">
        <v>46199</v>
      </c>
      <c r="B28">
        <f t="shared" si="0"/>
        <v>26</v>
      </c>
      <c r="C28">
        <f t="shared" si="1"/>
        <v>6</v>
      </c>
      <c r="D28">
        <f t="shared" si="2"/>
        <v>2026</v>
      </c>
      <c r="E28" t="str">
        <f t="shared" si="3"/>
        <v>T2</v>
      </c>
      <c r="F28" t="str">
        <f t="shared" si="4"/>
        <v>Juni</v>
      </c>
    </row>
    <row r="29" spans="1:6">
      <c r="A29" s="8">
        <v>46200</v>
      </c>
      <c r="B29">
        <f t="shared" si="0"/>
        <v>27</v>
      </c>
      <c r="C29">
        <f t="shared" si="1"/>
        <v>6</v>
      </c>
      <c r="D29">
        <f t="shared" si="2"/>
        <v>2026</v>
      </c>
      <c r="E29" t="str">
        <f t="shared" si="3"/>
        <v>T2</v>
      </c>
      <c r="F29" t="str">
        <f t="shared" si="4"/>
        <v>Juni</v>
      </c>
    </row>
    <row r="30" spans="1:6">
      <c r="A30" s="8">
        <v>46201</v>
      </c>
      <c r="B30">
        <f t="shared" si="0"/>
        <v>28</v>
      </c>
      <c r="C30">
        <f t="shared" si="1"/>
        <v>6</v>
      </c>
      <c r="D30">
        <f t="shared" si="2"/>
        <v>2026</v>
      </c>
      <c r="E30" t="str">
        <f t="shared" si="3"/>
        <v>T2</v>
      </c>
      <c r="F30" t="str">
        <f t="shared" si="4"/>
        <v>Juni</v>
      </c>
    </row>
    <row r="31" spans="1:6">
      <c r="A31" s="8">
        <v>46202</v>
      </c>
      <c r="B31">
        <f t="shared" si="0"/>
        <v>29</v>
      </c>
      <c r="C31">
        <f t="shared" si="1"/>
        <v>6</v>
      </c>
      <c r="D31">
        <f t="shared" si="2"/>
        <v>2026</v>
      </c>
      <c r="E31" t="str">
        <f t="shared" si="3"/>
        <v>T2</v>
      </c>
      <c r="F31" t="str">
        <f t="shared" si="4"/>
        <v>Juni</v>
      </c>
    </row>
    <row r="32" spans="1:6">
      <c r="A32" s="8">
        <v>46203</v>
      </c>
      <c r="B32">
        <f t="shared" si="0"/>
        <v>30</v>
      </c>
      <c r="C32">
        <f t="shared" si="1"/>
        <v>6</v>
      </c>
      <c r="D32">
        <f t="shared" si="2"/>
        <v>2026</v>
      </c>
      <c r="E32" t="str">
        <f t="shared" si="3"/>
        <v>T2</v>
      </c>
      <c r="F32" t="str">
        <f t="shared" si="4"/>
        <v>Juni</v>
      </c>
    </row>
    <row r="33" spans="1:6">
      <c r="A33" s="8">
        <v>46204</v>
      </c>
      <c r="B33">
        <f t="shared" si="0"/>
        <v>1</v>
      </c>
      <c r="C33">
        <f t="shared" si="1"/>
        <v>7</v>
      </c>
      <c r="D33">
        <f t="shared" si="2"/>
        <v>2026</v>
      </c>
      <c r="E33" t="str">
        <f t="shared" si="3"/>
        <v>T3</v>
      </c>
      <c r="F33" t="str">
        <f t="shared" si="4"/>
        <v>Juli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8073-AD3E-4637-90A8-3E7E9E9CA090}">
  <dimension ref="A1:E34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1" sqref="C1"/>
    </sheetView>
  </sheetViews>
  <sheetFormatPr baseColWidth="10" defaultRowHeight="14.4"/>
  <cols>
    <col min="2" max="2" width="13.33203125" bestFit="1" customWidth="1"/>
    <col min="3" max="3" width="18.6640625" customWidth="1"/>
    <col min="4" max="4" width="65.21875" customWidth="1"/>
  </cols>
  <sheetData>
    <row r="1" spans="1:5">
      <c r="A1" t="s">
        <v>281</v>
      </c>
      <c r="B1" t="s">
        <v>282</v>
      </c>
      <c r="C1" t="s">
        <v>283</v>
      </c>
      <c r="D1" t="s">
        <v>114</v>
      </c>
      <c r="E1" t="s">
        <v>8</v>
      </c>
    </row>
    <row r="2" spans="1:5">
      <c r="A2" s="1">
        <v>1</v>
      </c>
      <c r="B2" s="1" t="str">
        <f>IF(ISNUMBER(SEARCH(" ",C2)),UPPER(LEFT(C2,2)&amp;LEFT(_xlfn.TEXTAFTER(C2," "),1)),UPPER(LEFT(C2,3)))</f>
        <v>ASS</v>
      </c>
      <c r="C2" s="1" t="s">
        <v>265</v>
      </c>
      <c r="D2" s="1" t="s">
        <v>297</v>
      </c>
      <c r="E2" s="7">
        <v>46023</v>
      </c>
    </row>
    <row r="3" spans="1:5">
      <c r="A3" s="1">
        <f>A2+1</f>
        <v>2</v>
      </c>
      <c r="B3" s="1" t="s">
        <v>284</v>
      </c>
      <c r="C3" s="1" t="s">
        <v>98</v>
      </c>
      <c r="D3" s="1" t="s">
        <v>298</v>
      </c>
      <c r="E3" s="7">
        <v>46023</v>
      </c>
    </row>
    <row r="4" spans="1:5">
      <c r="A4" s="1">
        <f t="shared" ref="A4:A33" si="0">A3+1</f>
        <v>3</v>
      </c>
      <c r="B4" s="1" t="s">
        <v>299</v>
      </c>
      <c r="C4" s="1" t="s">
        <v>275</v>
      </c>
      <c r="D4" s="1" t="s">
        <v>300</v>
      </c>
      <c r="E4" s="7">
        <v>46023</v>
      </c>
    </row>
    <row r="5" spans="1:5">
      <c r="A5" s="1">
        <f t="shared" si="0"/>
        <v>4</v>
      </c>
      <c r="B5" s="1" t="s">
        <v>301</v>
      </c>
      <c r="C5" s="1" t="s">
        <v>276</v>
      </c>
      <c r="D5" s="1" t="s">
        <v>302</v>
      </c>
      <c r="E5" s="7">
        <v>46023</v>
      </c>
    </row>
    <row r="6" spans="1:5">
      <c r="A6" s="1">
        <f t="shared" si="0"/>
        <v>5</v>
      </c>
      <c r="B6" s="1" t="s">
        <v>303</v>
      </c>
      <c r="C6" s="1" t="s">
        <v>277</v>
      </c>
      <c r="D6" s="1" t="s">
        <v>304</v>
      </c>
      <c r="E6" s="7">
        <v>46023</v>
      </c>
    </row>
    <row r="7" spans="1:5">
      <c r="A7" s="1">
        <f t="shared" si="0"/>
        <v>6</v>
      </c>
      <c r="B7" s="1" t="s">
        <v>305</v>
      </c>
      <c r="C7" s="1" t="s">
        <v>49</v>
      </c>
      <c r="D7" s="1" t="s">
        <v>306</v>
      </c>
      <c r="E7" s="7">
        <v>46023</v>
      </c>
    </row>
    <row r="8" spans="1:5">
      <c r="A8" s="1">
        <f t="shared" si="0"/>
        <v>7</v>
      </c>
      <c r="B8" s="1" t="s">
        <v>307</v>
      </c>
      <c r="C8" s="1" t="s">
        <v>97</v>
      </c>
      <c r="D8" s="1" t="s">
        <v>308</v>
      </c>
      <c r="E8" s="7">
        <v>46023</v>
      </c>
    </row>
    <row r="9" spans="1:5">
      <c r="A9" s="1">
        <f t="shared" si="0"/>
        <v>8</v>
      </c>
      <c r="B9" s="1" t="s">
        <v>287</v>
      </c>
      <c r="C9" s="1" t="s">
        <v>280</v>
      </c>
      <c r="D9" s="1" t="s">
        <v>309</v>
      </c>
      <c r="E9" s="7">
        <v>46023</v>
      </c>
    </row>
    <row r="10" spans="1:5">
      <c r="A10" s="1">
        <f t="shared" si="0"/>
        <v>9</v>
      </c>
      <c r="B10" s="1" t="s">
        <v>286</v>
      </c>
      <c r="C10" s="1" t="s">
        <v>96</v>
      </c>
      <c r="D10" s="1" t="s">
        <v>310</v>
      </c>
      <c r="E10" s="7">
        <v>46023</v>
      </c>
    </row>
    <row r="11" spans="1:5">
      <c r="A11" s="1">
        <f t="shared" si="0"/>
        <v>10</v>
      </c>
      <c r="B11" s="1" t="s">
        <v>311</v>
      </c>
      <c r="C11" s="1" t="s">
        <v>90</v>
      </c>
      <c r="D11" s="1" t="s">
        <v>312</v>
      </c>
      <c r="E11" s="7">
        <v>46023</v>
      </c>
    </row>
    <row r="12" spans="1:5">
      <c r="A12" s="1">
        <f t="shared" si="0"/>
        <v>11</v>
      </c>
      <c r="B12" s="1" t="s">
        <v>313</v>
      </c>
      <c r="C12" s="1" t="s">
        <v>63</v>
      </c>
      <c r="D12" s="1" t="s">
        <v>314</v>
      </c>
      <c r="E12" s="7">
        <v>46023</v>
      </c>
    </row>
    <row r="13" spans="1:5">
      <c r="A13" s="1">
        <f t="shared" si="0"/>
        <v>12</v>
      </c>
      <c r="B13" s="1" t="s">
        <v>315</v>
      </c>
      <c r="C13" s="1" t="s">
        <v>52</v>
      </c>
      <c r="D13" s="1" t="s">
        <v>316</v>
      </c>
      <c r="E13" s="7">
        <v>46023</v>
      </c>
    </row>
    <row r="14" spans="1:5">
      <c r="A14" s="1">
        <f t="shared" si="0"/>
        <v>13</v>
      </c>
      <c r="B14" s="1" t="s">
        <v>317</v>
      </c>
      <c r="C14" s="1" t="s">
        <v>100</v>
      </c>
      <c r="D14" s="1" t="s">
        <v>318</v>
      </c>
      <c r="E14" s="7">
        <v>46023</v>
      </c>
    </row>
    <row r="15" spans="1:5">
      <c r="A15" s="1">
        <f t="shared" si="0"/>
        <v>14</v>
      </c>
      <c r="B15" s="1" t="s">
        <v>319</v>
      </c>
      <c r="C15" s="1" t="s">
        <v>87</v>
      </c>
      <c r="D15" s="1" t="s">
        <v>320</v>
      </c>
      <c r="E15" s="7">
        <v>46023</v>
      </c>
    </row>
    <row r="16" spans="1:5">
      <c r="A16" s="1">
        <f t="shared" si="0"/>
        <v>15</v>
      </c>
      <c r="B16" s="1" t="s">
        <v>321</v>
      </c>
      <c r="C16" s="1" t="s">
        <v>94</v>
      </c>
      <c r="D16" s="1" t="s">
        <v>322</v>
      </c>
      <c r="E16" s="7">
        <v>46023</v>
      </c>
    </row>
    <row r="17" spans="1:5">
      <c r="A17" s="1">
        <f t="shared" si="0"/>
        <v>16</v>
      </c>
      <c r="B17" s="1" t="s">
        <v>323</v>
      </c>
      <c r="C17" s="1" t="s">
        <v>91</v>
      </c>
      <c r="D17" s="1" t="s">
        <v>324</v>
      </c>
      <c r="E17" s="7">
        <v>46023</v>
      </c>
    </row>
    <row r="18" spans="1:5">
      <c r="A18" s="1">
        <f t="shared" si="0"/>
        <v>17</v>
      </c>
      <c r="B18" s="1" t="s">
        <v>325</v>
      </c>
      <c r="C18" s="1" t="s">
        <v>99</v>
      </c>
      <c r="D18" s="1" t="s">
        <v>326</v>
      </c>
      <c r="E18" s="7">
        <v>46023</v>
      </c>
    </row>
    <row r="19" spans="1:5">
      <c r="A19" s="1">
        <f t="shared" si="0"/>
        <v>18</v>
      </c>
      <c r="B19" s="1" t="s">
        <v>327</v>
      </c>
      <c r="C19" s="1" t="s">
        <v>278</v>
      </c>
      <c r="D19" s="1" t="s">
        <v>328</v>
      </c>
      <c r="E19" s="7">
        <v>46023</v>
      </c>
    </row>
    <row r="20" spans="1:5">
      <c r="A20" s="1">
        <f t="shared" si="0"/>
        <v>19</v>
      </c>
      <c r="B20" s="1" t="s">
        <v>329</v>
      </c>
      <c r="C20" s="1" t="s">
        <v>93</v>
      </c>
      <c r="D20" s="1" t="s">
        <v>330</v>
      </c>
      <c r="E20" s="7">
        <v>46023</v>
      </c>
    </row>
    <row r="21" spans="1:5">
      <c r="A21" s="1">
        <f t="shared" si="0"/>
        <v>20</v>
      </c>
      <c r="B21" s="1" t="s">
        <v>290</v>
      </c>
      <c r="C21" s="1" t="s">
        <v>263</v>
      </c>
      <c r="D21" s="1" t="s">
        <v>331</v>
      </c>
      <c r="E21" s="7">
        <v>46023</v>
      </c>
    </row>
    <row r="22" spans="1:5">
      <c r="A22" s="1">
        <f t="shared" si="0"/>
        <v>21</v>
      </c>
      <c r="B22" s="1" t="s">
        <v>292</v>
      </c>
      <c r="C22" s="1" t="s">
        <v>270</v>
      </c>
      <c r="D22" s="1" t="s">
        <v>332</v>
      </c>
      <c r="E22" s="7">
        <v>46023</v>
      </c>
    </row>
    <row r="23" spans="1:5">
      <c r="A23" s="1">
        <f t="shared" si="0"/>
        <v>22</v>
      </c>
      <c r="B23" s="1" t="s">
        <v>285</v>
      </c>
      <c r="C23" s="1" t="s">
        <v>50</v>
      </c>
      <c r="D23" s="1" t="s">
        <v>333</v>
      </c>
      <c r="E23" s="7">
        <v>46023</v>
      </c>
    </row>
    <row r="24" spans="1:5">
      <c r="A24" s="1">
        <f t="shared" si="0"/>
        <v>23</v>
      </c>
      <c r="B24" s="1" t="s">
        <v>334</v>
      </c>
      <c r="C24" s="1" t="s">
        <v>182</v>
      </c>
      <c r="D24" s="1" t="s">
        <v>335</v>
      </c>
      <c r="E24" s="7">
        <v>46023</v>
      </c>
    </row>
    <row r="25" spans="1:5">
      <c r="A25" s="1">
        <f t="shared" si="0"/>
        <v>24</v>
      </c>
      <c r="B25" s="1" t="s">
        <v>336</v>
      </c>
      <c r="C25" s="1" t="s">
        <v>279</v>
      </c>
      <c r="D25" s="1" t="s">
        <v>337</v>
      </c>
      <c r="E25" s="7">
        <v>46023</v>
      </c>
    </row>
    <row r="26" spans="1:5">
      <c r="A26" s="1">
        <f t="shared" si="0"/>
        <v>25</v>
      </c>
      <c r="B26" s="1" t="s">
        <v>338</v>
      </c>
      <c r="C26" s="1" t="s">
        <v>92</v>
      </c>
      <c r="D26" s="1" t="s">
        <v>339</v>
      </c>
      <c r="E26" s="7">
        <v>46023</v>
      </c>
    </row>
    <row r="27" spans="1:5">
      <c r="A27" s="1">
        <f t="shared" si="0"/>
        <v>26</v>
      </c>
      <c r="B27" s="1" t="s">
        <v>340</v>
      </c>
      <c r="C27" s="1" t="s">
        <v>103</v>
      </c>
      <c r="D27" s="1" t="s">
        <v>341</v>
      </c>
      <c r="E27" s="7">
        <v>46023</v>
      </c>
    </row>
    <row r="28" spans="1:5">
      <c r="A28" s="1">
        <f t="shared" si="0"/>
        <v>27</v>
      </c>
      <c r="B28" s="1" t="s">
        <v>342</v>
      </c>
      <c r="C28" s="1" t="s">
        <v>95</v>
      </c>
      <c r="D28" s="1" t="s">
        <v>343</v>
      </c>
      <c r="E28" s="7">
        <v>46023</v>
      </c>
    </row>
    <row r="29" spans="1:5">
      <c r="A29" s="1">
        <f t="shared" si="0"/>
        <v>28</v>
      </c>
      <c r="B29" s="1" t="s">
        <v>344</v>
      </c>
      <c r="C29" s="1" t="s">
        <v>51</v>
      </c>
      <c r="D29" s="1" t="s">
        <v>345</v>
      </c>
      <c r="E29" s="7">
        <v>46023</v>
      </c>
    </row>
    <row r="30" spans="1:5">
      <c r="A30" s="1">
        <f t="shared" si="0"/>
        <v>29</v>
      </c>
      <c r="B30" s="1" t="s">
        <v>291</v>
      </c>
      <c r="C30" s="1" t="s">
        <v>64</v>
      </c>
      <c r="D30" s="1" t="s">
        <v>346</v>
      </c>
      <c r="E30" s="7">
        <v>46023</v>
      </c>
    </row>
    <row r="31" spans="1:5">
      <c r="A31" s="1">
        <f t="shared" si="0"/>
        <v>30</v>
      </c>
      <c r="B31" s="1" t="s">
        <v>293</v>
      </c>
      <c r="C31" s="1" t="s">
        <v>294</v>
      </c>
      <c r="D31" s="1" t="s">
        <v>347</v>
      </c>
      <c r="E31" s="7">
        <v>46023</v>
      </c>
    </row>
    <row r="32" spans="1:5">
      <c r="A32" s="1">
        <f t="shared" si="0"/>
        <v>31</v>
      </c>
      <c r="B32" s="1" t="s">
        <v>288</v>
      </c>
      <c r="C32" s="1" t="s">
        <v>289</v>
      </c>
      <c r="D32" s="1" t="s">
        <v>348</v>
      </c>
      <c r="E32" s="7">
        <v>46023</v>
      </c>
    </row>
    <row r="33" spans="1:5">
      <c r="A33" s="1">
        <f t="shared" si="0"/>
        <v>32</v>
      </c>
      <c r="B33" s="1" t="s">
        <v>295</v>
      </c>
      <c r="C33" s="1" t="s">
        <v>296</v>
      </c>
      <c r="D33" s="1" t="s">
        <v>349</v>
      </c>
      <c r="E33" s="7">
        <v>46023</v>
      </c>
    </row>
    <row r="34" spans="1:5">
      <c r="A34" s="1"/>
      <c r="B34" s="1"/>
      <c r="C34" s="1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6F88-959B-4041-8DA6-55F224A56B45}">
  <dimension ref="A1:N116"/>
  <sheetViews>
    <sheetView zoomScale="85" zoomScaleNormal="85" workbookViewId="0">
      <pane xSplit="11" ySplit="1" topLeftCell="L62" activePane="bottomRight" state="frozen"/>
      <selection pane="topRight" activeCell="J1" sqref="J1"/>
      <selection pane="bottomLeft" activeCell="A2" sqref="A2"/>
      <selection pane="bottomRight" activeCell="C9" sqref="C9"/>
    </sheetView>
  </sheetViews>
  <sheetFormatPr baseColWidth="10" defaultRowHeight="14.4"/>
  <cols>
    <col min="1" max="1" width="15.44140625" customWidth="1"/>
    <col min="2" max="2" width="13.109375" customWidth="1"/>
    <col min="3" max="3" width="42.33203125" customWidth="1"/>
    <col min="4" max="4" width="17.44140625" customWidth="1"/>
    <col min="5" max="5" width="25.21875" customWidth="1"/>
    <col min="7" max="7" width="15.109375" customWidth="1"/>
    <col min="10" max="10" width="13.33203125" customWidth="1"/>
    <col min="14" max="14" width="25.5546875" bestFit="1" customWidth="1"/>
  </cols>
  <sheetData>
    <row r="1" spans="1:14">
      <c r="A1" s="1" t="s">
        <v>139</v>
      </c>
      <c r="B1" s="1" t="s">
        <v>2</v>
      </c>
      <c r="C1" t="s">
        <v>4</v>
      </c>
      <c r="D1" t="s">
        <v>364</v>
      </c>
      <c r="E1" s="14" t="s">
        <v>283</v>
      </c>
      <c r="F1" s="1" t="s">
        <v>6</v>
      </c>
      <c r="G1" s="1" t="s">
        <v>53</v>
      </c>
      <c r="H1" s="1" t="s">
        <v>7</v>
      </c>
      <c r="I1" s="1" t="s">
        <v>120</v>
      </c>
      <c r="J1" s="1" t="s">
        <v>8</v>
      </c>
      <c r="N1" s="14" t="s">
        <v>417</v>
      </c>
    </row>
    <row r="2" spans="1:14">
      <c r="A2" s="13">
        <v>1</v>
      </c>
      <c r="B2" t="str">
        <f>IF(ISNUMBER(SEARCH(" ",E2)),
LEFT(UPPER(E2),2)&amp;MID(UPPER(E2),SEARCH(" ",E2)+1,1),
LEFT(UPPER(E2),3))
&amp;
TEXT(COUNTIF($E$2:E2,E2),"000")</f>
        <v>ASS001</v>
      </c>
      <c r="C2" t="s">
        <v>179</v>
      </c>
      <c r="D2">
        <f>IFERROR(INDEX(dim_categories!$A:$A,MATCH(E2,dim_categories!$C:$C,0)),"")</f>
        <v>1</v>
      </c>
      <c r="E2" t="s">
        <v>265</v>
      </c>
      <c r="F2" t="s">
        <v>266</v>
      </c>
      <c r="G2">
        <v>100</v>
      </c>
      <c r="H2" s="32">
        <f>G2/10</f>
        <v>10</v>
      </c>
      <c r="I2" t="s">
        <v>136</v>
      </c>
      <c r="J2" s="8">
        <v>46174</v>
      </c>
      <c r="N2" t="str">
        <f>IF(ISNUMBER(MATCH(C2,fact_inventaire!$E:$E,0)),"OK","MANQUANT")</f>
        <v>OK</v>
      </c>
    </row>
    <row r="3" spans="1:14">
      <c r="A3" s="13">
        <f>A2+1</f>
        <v>2</v>
      </c>
      <c r="B3" t="str">
        <f>IF(ISNUMBER(SEARCH(" ",E3)),
LEFT(UPPER(E3),2)&amp;MID(UPPER(E3),SEARCH(" ",E3)+1,1),
LEFT(UPPER(E3),3))
&amp;
TEXT(COUNTIF($E$2:E3,E3),"000")</f>
        <v>BIS001</v>
      </c>
      <c r="C3" t="s">
        <v>165</v>
      </c>
      <c r="D3">
        <f>IFERROR(INDEX(dim_categories!$A:$A,MATCH(E3,dim_categories!$C:$C,0)),"")</f>
        <v>2</v>
      </c>
      <c r="E3" t="s">
        <v>98</v>
      </c>
      <c r="F3" t="s">
        <v>105</v>
      </c>
      <c r="G3">
        <v>240</v>
      </c>
      <c r="H3" s="32">
        <f>G3/24</f>
        <v>10</v>
      </c>
      <c r="I3" t="s">
        <v>136</v>
      </c>
      <c r="J3" s="8">
        <v>46174</v>
      </c>
      <c r="N3" t="str">
        <f>IF(ISNUMBER(MATCH(C3,fact_inventaire!$E:$E,0)),"OK","MANQUANT")</f>
        <v>OK</v>
      </c>
    </row>
    <row r="4" spans="1:14">
      <c r="A4" s="13">
        <f t="shared" ref="A4:A65" si="0">A3+1</f>
        <v>3</v>
      </c>
      <c r="B4" t="str">
        <f>IF(ISNUMBER(SEARCH(" ",E4)),
LEFT(UPPER(E4),2)&amp;MID(UPPER(E4),SEARCH(" ",E4)+1,1),
LEFT(UPPER(E4),3))
&amp;
TEXT(COUNTIF($E$2:E4,E4),"000")</f>
        <v>BIS002</v>
      </c>
      <c r="C4" t="s">
        <v>166</v>
      </c>
      <c r="D4">
        <f>IFERROR(INDEX(dim_categories!$A:$A,MATCH(E4,dim_categories!$C:$C,0)),"")</f>
        <v>2</v>
      </c>
      <c r="E4" t="s">
        <v>98</v>
      </c>
      <c r="F4" t="s">
        <v>105</v>
      </c>
      <c r="G4">
        <v>120</v>
      </c>
      <c r="H4" s="32">
        <f>G4/12</f>
        <v>10</v>
      </c>
      <c r="I4" t="s">
        <v>136</v>
      </c>
      <c r="J4" s="8">
        <v>46174</v>
      </c>
      <c r="N4" t="str">
        <f>IF(ISNUMBER(MATCH(C4,fact_inventaire!$E:$E,0)),"OK","MANQUANT")</f>
        <v>OK</v>
      </c>
    </row>
    <row r="5" spans="1:14">
      <c r="A5" s="13">
        <f t="shared" si="0"/>
        <v>4</v>
      </c>
      <c r="B5" t="str">
        <f>IF(ISNUMBER(SEARCH(" ",E5)),
LEFT(UPPER(E5),2)&amp;MID(UPPER(E5),SEARCH(" ",E5)+1,1),
LEFT(UPPER(E5),3))
&amp;
TEXT(COUNTIF($E$2:E5,E5),"000")</f>
        <v>BIS003</v>
      </c>
      <c r="C5" t="s">
        <v>168</v>
      </c>
      <c r="D5">
        <f>IFERROR(INDEX(dim_categories!$A:$A,MATCH(E5,dim_categories!$C:$C,0)),"")</f>
        <v>2</v>
      </c>
      <c r="E5" t="s">
        <v>98</v>
      </c>
      <c r="F5" t="s">
        <v>105</v>
      </c>
      <c r="G5">
        <v>120</v>
      </c>
      <c r="H5" s="32">
        <f>G5/12</f>
        <v>10</v>
      </c>
      <c r="I5" t="s">
        <v>136</v>
      </c>
      <c r="J5" s="8">
        <v>46174</v>
      </c>
      <c r="N5" t="str">
        <f>IF(ISNUMBER(MATCH(C5,fact_inventaire!$E:$E,0)),"OK","MANQUANT")</f>
        <v>OK</v>
      </c>
    </row>
    <row r="6" spans="1:14">
      <c r="A6" s="13">
        <f t="shared" si="0"/>
        <v>5</v>
      </c>
      <c r="B6" t="str">
        <f>IF(ISNUMBER(SEARCH(" ",E6)),
LEFT(UPPER(E6),2)&amp;MID(UPPER(E6),SEARCH(" ",E6)+1,1),
LEFT(UPPER(E6),3))
&amp;
TEXT(COUNTIF($E$2:E6,E6),"000")</f>
        <v>BOE001</v>
      </c>
      <c r="C6" t="s">
        <v>197</v>
      </c>
      <c r="D6">
        <f>IFERROR(INDEX(dim_categories!$A:$A,MATCH(E6,dim_categories!$C:$C,0)),"")</f>
        <v>3</v>
      </c>
      <c r="E6" t="s">
        <v>275</v>
      </c>
      <c r="F6" t="s">
        <v>49</v>
      </c>
      <c r="G6">
        <v>10</v>
      </c>
      <c r="H6" s="32">
        <f>G6/2</f>
        <v>5</v>
      </c>
      <c r="I6" t="s">
        <v>136</v>
      </c>
      <c r="J6" s="8">
        <v>46174</v>
      </c>
      <c r="N6" t="str">
        <f>IF(ISNUMBER(MATCH(C6,fact_inventaire!$E:$E,0)),"OK","MANQUANT")</f>
        <v>OK</v>
      </c>
    </row>
    <row r="7" spans="1:14">
      <c r="A7" s="13">
        <f t="shared" si="0"/>
        <v>6</v>
      </c>
      <c r="B7" t="str">
        <f>IF(ISNUMBER(SEARCH(" ",E7)),
LEFT(UPPER(E7),2)&amp;MID(UPPER(E7),SEARCH(" ",E7)+1,1),
LEFT(UPPER(E7),3))
&amp;
TEXT(COUNTIF($E$2:E7,E7),"000")</f>
        <v>BOE002</v>
      </c>
      <c r="C7" t="s">
        <v>368</v>
      </c>
      <c r="D7">
        <f>IFERROR(INDEX(dim_categories!$A:$A,MATCH(E7,dim_categories!$C:$C,0)),"")</f>
        <v>3</v>
      </c>
      <c r="E7" t="s">
        <v>275</v>
      </c>
      <c r="F7" t="s">
        <v>49</v>
      </c>
      <c r="G7">
        <v>11</v>
      </c>
      <c r="H7" s="32">
        <f>G7/2</f>
        <v>5.5</v>
      </c>
      <c r="I7" t="s">
        <v>136</v>
      </c>
      <c r="J7" s="8">
        <v>46174</v>
      </c>
      <c r="N7" t="str">
        <f>IF(ISNUMBER(MATCH(C7,fact_inventaire!$E:$E,0)),"OK","MANQUANT")</f>
        <v>OK</v>
      </c>
    </row>
    <row r="8" spans="1:14">
      <c r="A8" s="13">
        <f t="shared" si="0"/>
        <v>7</v>
      </c>
      <c r="B8" t="str">
        <f>IF(ISNUMBER(SEARCH(" ",E8)),
LEFT(UPPER(E8),2)&amp;MID(UPPER(E8),SEARCH(" ",E8)+1,1),
LEFT(UPPER(E8),3))
&amp;
TEXT(COUNTIF($E$2:E8,E8),"000")</f>
        <v>BOG001</v>
      </c>
      <c r="C8" t="s">
        <v>220</v>
      </c>
      <c r="D8">
        <f>IFERROR(INDEX(dim_categories!$A:$A,MATCH(E8,dim_categories!$C:$C,0)),"")</f>
        <v>4</v>
      </c>
      <c r="E8" t="s">
        <v>276</v>
      </c>
      <c r="F8" t="s">
        <v>54</v>
      </c>
      <c r="G8">
        <v>12</v>
      </c>
      <c r="H8" s="32">
        <f t="shared" ref="H8:H19" si="1">G8/1</f>
        <v>12</v>
      </c>
      <c r="I8" t="s">
        <v>136</v>
      </c>
      <c r="J8" s="8">
        <v>46174</v>
      </c>
      <c r="N8" t="str">
        <f>IF(ISNUMBER(MATCH(C8,fact_inventaire!$E:$E,0)),"OK","MANQUANT")</f>
        <v>OK</v>
      </c>
    </row>
    <row r="9" spans="1:14">
      <c r="A9" s="13">
        <f t="shared" si="0"/>
        <v>8</v>
      </c>
      <c r="B9" t="str">
        <f>IF(ISNUMBER(SEARCH(" ",E9)),
LEFT(UPPER(E9),2)&amp;MID(UPPER(E9),SEARCH(" ",E9)+1,1),
LEFT(UPPER(E9),3))
&amp;
TEXT(COUNTIF($E$2:E9,E9),"000")</f>
        <v>BOG002</v>
      </c>
      <c r="C9" t="s">
        <v>221</v>
      </c>
      <c r="D9">
        <f>IFERROR(INDEX(dim_categories!$A:$A,MATCH(E9,dim_categories!$C:$C,0)),"")</f>
        <v>4</v>
      </c>
      <c r="E9" t="s">
        <v>276</v>
      </c>
      <c r="F9" t="s">
        <v>54</v>
      </c>
      <c r="G9">
        <v>12</v>
      </c>
      <c r="H9" s="32">
        <f t="shared" si="1"/>
        <v>12</v>
      </c>
      <c r="I9" t="s">
        <v>136</v>
      </c>
      <c r="J9" s="8">
        <v>46174</v>
      </c>
      <c r="N9" s="109" t="str">
        <f>IF(ISNUMBER(MATCH(C9,fact_inventaire!$E:$E,0)),"OK","MANQUANT")</f>
        <v>MANQUANT</v>
      </c>
    </row>
    <row r="10" spans="1:14">
      <c r="A10" s="13">
        <f t="shared" si="0"/>
        <v>9</v>
      </c>
      <c r="B10" t="str">
        <f>IF(ISNUMBER(SEARCH(" ",E10)),
LEFT(UPPER(E10),2)&amp;MID(UPPER(E10),SEARCH(" ",E10)+1,1),
LEFT(UPPER(E10),3))
&amp;
TEXT(COUNTIF($E$2:E10,E10),"000")</f>
        <v>BRB001</v>
      </c>
      <c r="C10" t="s">
        <v>222</v>
      </c>
      <c r="D10">
        <f>IFERROR(INDEX(dim_categories!$A:$A,MATCH(E10,dim_categories!$C:$C,0)),"")</f>
        <v>5</v>
      </c>
      <c r="E10" t="s">
        <v>277</v>
      </c>
      <c r="F10" t="s">
        <v>54</v>
      </c>
      <c r="G10">
        <v>12</v>
      </c>
      <c r="H10" s="32">
        <f t="shared" si="1"/>
        <v>12</v>
      </c>
      <c r="I10" t="s">
        <v>136</v>
      </c>
      <c r="J10" s="8">
        <v>46174</v>
      </c>
      <c r="N10" t="str">
        <f>IF(ISNUMBER(MATCH(C10,fact_inventaire!$E:$E,0)),"OK","MANQUANT")</f>
        <v>OK</v>
      </c>
    </row>
    <row r="11" spans="1:14">
      <c r="A11" s="13">
        <f t="shared" si="0"/>
        <v>10</v>
      </c>
      <c r="B11" t="str">
        <f>IF(ISNUMBER(SEARCH(" ",E11)),
LEFT(UPPER(E11),2)&amp;MID(UPPER(E11),SEARCH(" ",E11)+1,1),
LEFT(UPPER(E11),3))
&amp;
TEXT(COUNTIF($E$2:E11,E11),"000")</f>
        <v>BRB002</v>
      </c>
      <c r="C11" t="s">
        <v>227</v>
      </c>
      <c r="D11">
        <f>IFERROR(INDEX(dim_categories!$A:$A,MATCH(E11,dim_categories!$C:$C,0)),"")</f>
        <v>5</v>
      </c>
      <c r="E11" t="s">
        <v>277</v>
      </c>
      <c r="F11" t="s">
        <v>54</v>
      </c>
      <c r="G11">
        <v>12</v>
      </c>
      <c r="H11" s="32">
        <f t="shared" si="1"/>
        <v>12</v>
      </c>
      <c r="I11" t="s">
        <v>136</v>
      </c>
      <c r="J11" s="8">
        <v>46174</v>
      </c>
      <c r="N11" t="str">
        <f>IF(ISNUMBER(MATCH(C11,fact_inventaire!$E:$E,0)),"OK","MANQUANT")</f>
        <v>OK</v>
      </c>
    </row>
    <row r="12" spans="1:14">
      <c r="A12" s="13">
        <f t="shared" si="0"/>
        <v>11</v>
      </c>
      <c r="B12" t="str">
        <f>IF(ISNUMBER(SEARCH(" ",E12)),
LEFT(UPPER(E12),2)&amp;MID(UPPER(E12),SEARCH(" ",E12)+1,1),
LEFT(UPPER(E12),3))
&amp;
TEXT(COUNTIF($E$2:E12,E12),"000")</f>
        <v>BRB003</v>
      </c>
      <c r="C12" t="s">
        <v>223</v>
      </c>
      <c r="D12">
        <f>IFERROR(INDEX(dim_categories!$A:$A,MATCH(E12,dim_categories!$C:$C,0)),"")</f>
        <v>5</v>
      </c>
      <c r="E12" t="s">
        <v>277</v>
      </c>
      <c r="F12" t="s">
        <v>54</v>
      </c>
      <c r="G12">
        <v>12</v>
      </c>
      <c r="H12" s="32">
        <f t="shared" si="1"/>
        <v>12</v>
      </c>
      <c r="I12" t="s">
        <v>136</v>
      </c>
      <c r="J12" s="8">
        <v>46174</v>
      </c>
      <c r="N12" t="str">
        <f>IF(ISNUMBER(MATCH(C12,fact_inventaire!$E:$E,0)),"OK","MANQUANT")</f>
        <v>OK</v>
      </c>
    </row>
    <row r="13" spans="1:14">
      <c r="A13" s="13">
        <f t="shared" si="0"/>
        <v>12</v>
      </c>
      <c r="B13" t="str">
        <f>IF(ISNUMBER(SEARCH(" ",E13)),
LEFT(UPPER(E13),2)&amp;MID(UPPER(E13),SEARCH(" ",E13)+1,1),
LEFT(UPPER(E13),3))
&amp;
TEXT(COUNTIF($E$2:E13,E13),"000")</f>
        <v>BRB004</v>
      </c>
      <c r="C13" t="s">
        <v>229</v>
      </c>
      <c r="D13">
        <f>IFERROR(INDEX(dim_categories!$A:$A,MATCH(E13,dim_categories!$C:$C,0)),"")</f>
        <v>5</v>
      </c>
      <c r="E13" t="s">
        <v>277</v>
      </c>
      <c r="F13" t="s">
        <v>54</v>
      </c>
      <c r="G13">
        <v>12</v>
      </c>
      <c r="H13" s="32">
        <f t="shared" si="1"/>
        <v>12</v>
      </c>
      <c r="I13" t="s">
        <v>136</v>
      </c>
      <c r="J13" s="8">
        <v>46174</v>
      </c>
      <c r="N13" t="str">
        <f>IF(ISNUMBER(MATCH(C13,fact_inventaire!$E:$E,0)),"OK","MANQUANT")</f>
        <v>OK</v>
      </c>
    </row>
    <row r="14" spans="1:14">
      <c r="A14" s="13">
        <f t="shared" si="0"/>
        <v>13</v>
      </c>
      <c r="B14" t="str">
        <f>IF(ISNUMBER(SEARCH(" ",E14)),
LEFT(UPPER(E14),2)&amp;MID(UPPER(E14),SEARCH(" ",E14)+1,1),
LEFT(UPPER(E14),3))
&amp;
TEXT(COUNTIF($E$2:E14,E14),"000")</f>
        <v>BRB005</v>
      </c>
      <c r="C14" t="s">
        <v>233</v>
      </c>
      <c r="D14">
        <f>IFERROR(INDEX(dim_categories!$A:$A,MATCH(E14,dim_categories!$C:$C,0)),"")</f>
        <v>5</v>
      </c>
      <c r="E14" t="s">
        <v>277</v>
      </c>
      <c r="F14" t="s">
        <v>54</v>
      </c>
      <c r="G14">
        <v>12</v>
      </c>
      <c r="H14" s="32">
        <f t="shared" si="1"/>
        <v>12</v>
      </c>
      <c r="I14" t="s">
        <v>136</v>
      </c>
      <c r="J14" s="8">
        <v>46174</v>
      </c>
      <c r="N14" t="str">
        <f>IF(ISNUMBER(MATCH(C14,fact_inventaire!$E:$E,0)),"OK","MANQUANT")</f>
        <v>OK</v>
      </c>
    </row>
    <row r="15" spans="1:14">
      <c r="A15" s="13">
        <f t="shared" si="0"/>
        <v>14</v>
      </c>
      <c r="B15" t="str">
        <f>IF(ISNUMBER(SEARCH(" ",E15)),
LEFT(UPPER(E15),2)&amp;MID(UPPER(E15),SEARCH(" ",E15)+1,1),
LEFT(UPPER(E15),3))
&amp;
TEXT(COUNTIF($E$2:E15,E15),"000")</f>
        <v>BRB006</v>
      </c>
      <c r="C15" t="s">
        <v>373</v>
      </c>
      <c r="D15">
        <f>IFERROR(INDEX(dim_categories!$A:$A,MATCH(E15,dim_categories!$C:$C,0)),"")</f>
        <v>5</v>
      </c>
      <c r="E15" t="s">
        <v>277</v>
      </c>
      <c r="F15" t="s">
        <v>54</v>
      </c>
      <c r="G15">
        <v>12</v>
      </c>
      <c r="H15" s="32">
        <f t="shared" si="1"/>
        <v>12</v>
      </c>
      <c r="I15" t="s">
        <v>136</v>
      </c>
      <c r="J15" s="8">
        <v>46174</v>
      </c>
      <c r="N15" t="str">
        <f>IF(ISNUMBER(MATCH(C15,fact_inventaire!$E:$E,0)),"OK","MANQUANT")</f>
        <v>OK</v>
      </c>
    </row>
    <row r="16" spans="1:14">
      <c r="A16" s="13">
        <f t="shared" si="0"/>
        <v>15</v>
      </c>
      <c r="B16" t="str">
        <f>IF(ISNUMBER(SEARCH(" ",E16)),
LEFT(UPPER(E16),2)&amp;MID(UPPER(E16),SEARCH(" ",E16)+1,1),
LEFT(UPPER(E16),3))
&amp;
TEXT(COUNTIF($E$2:E16,E16),"000")</f>
        <v>BRB007</v>
      </c>
      <c r="C16" t="s">
        <v>230</v>
      </c>
      <c r="D16">
        <f>IFERROR(INDEX(dim_categories!$A:$A,MATCH(E16,dim_categories!$C:$C,0)),"")</f>
        <v>5</v>
      </c>
      <c r="E16" t="s">
        <v>277</v>
      </c>
      <c r="F16" t="s">
        <v>54</v>
      </c>
      <c r="G16">
        <v>12</v>
      </c>
      <c r="H16" s="32">
        <f t="shared" si="1"/>
        <v>12</v>
      </c>
      <c r="I16" t="s">
        <v>136</v>
      </c>
      <c r="J16" s="8">
        <v>46174</v>
      </c>
      <c r="N16" t="str">
        <f>IF(ISNUMBER(MATCH(C16,fact_inventaire!$E:$E,0)),"OK","MANQUANT")</f>
        <v>OK</v>
      </c>
    </row>
    <row r="17" spans="1:14">
      <c r="A17" s="13">
        <f t="shared" si="0"/>
        <v>16</v>
      </c>
      <c r="B17" t="str">
        <f>IF(ISNUMBER(SEARCH(" ",E17)),
LEFT(UPPER(E17),2)&amp;MID(UPPER(E17),SEARCH(" ",E17)+1,1),
LEFT(UPPER(E17),3))
&amp;
TEXT(COUNTIF($E$2:E17,E17),"000")</f>
        <v>BRB008</v>
      </c>
      <c r="C17" t="s">
        <v>419</v>
      </c>
      <c r="D17">
        <f>IFERROR(INDEX(dim_categories!$A:$A,MATCH(E17,dim_categories!$C:$C,0)),"")</f>
        <v>5</v>
      </c>
      <c r="E17" t="s">
        <v>277</v>
      </c>
      <c r="F17" t="s">
        <v>54</v>
      </c>
      <c r="G17">
        <v>12</v>
      </c>
      <c r="H17" s="32">
        <f t="shared" si="1"/>
        <v>12</v>
      </c>
      <c r="I17" t="s">
        <v>136</v>
      </c>
      <c r="J17" s="8">
        <v>46174</v>
      </c>
      <c r="N17" t="str">
        <f>IF(ISNUMBER(MATCH(C17,fact_inventaire!$E:$E,0)),"OK","MANQUANT")</f>
        <v>OK</v>
      </c>
    </row>
    <row r="18" spans="1:14">
      <c r="A18" s="13">
        <f t="shared" si="0"/>
        <v>17</v>
      </c>
      <c r="B18" t="str">
        <f>IF(ISNUMBER(SEARCH(" ",E18)),
LEFT(UPPER(E18),2)&amp;MID(UPPER(E18),SEARCH(" ",E18)+1,1),
LEFT(UPPER(E18),3))
&amp;
TEXT(COUNTIF($E$2:E18,E18),"000")</f>
        <v>BRB009</v>
      </c>
      <c r="C18" t="s">
        <v>225</v>
      </c>
      <c r="D18">
        <f>IFERROR(INDEX(dim_categories!$A:$A,MATCH(E18,dim_categories!$C:$C,0)),"")</f>
        <v>5</v>
      </c>
      <c r="E18" t="s">
        <v>277</v>
      </c>
      <c r="F18" t="s">
        <v>54</v>
      </c>
      <c r="G18">
        <v>12</v>
      </c>
      <c r="H18" s="32">
        <f t="shared" si="1"/>
        <v>12</v>
      </c>
      <c r="I18" t="s">
        <v>136</v>
      </c>
      <c r="J18" s="8">
        <v>46174</v>
      </c>
      <c r="N18" t="str">
        <f>IF(ISNUMBER(MATCH(C18,fact_inventaire!$E:$E,0)),"OK","MANQUANT")</f>
        <v>OK</v>
      </c>
    </row>
    <row r="19" spans="1:14">
      <c r="A19" s="13">
        <f t="shared" si="0"/>
        <v>18</v>
      </c>
      <c r="B19" t="str">
        <f>IF(ISNUMBER(SEARCH(" ",E19)),
LEFT(UPPER(E19),2)&amp;MID(UPPER(E19),SEARCH(" ",E19)+1,1),
LEFT(UPPER(E19),3))
&amp;
TEXT(COUNTIF($E$2:E19,E19),"000")</f>
        <v>BRB010</v>
      </c>
      <c r="C19" t="s">
        <v>228</v>
      </c>
      <c r="D19">
        <f>IFERROR(INDEX(dim_categories!$A:$A,MATCH(E19,dim_categories!$C:$C,0)),"")</f>
        <v>5</v>
      </c>
      <c r="E19" t="s">
        <v>277</v>
      </c>
      <c r="F19" t="s">
        <v>54</v>
      </c>
      <c r="G19">
        <v>12</v>
      </c>
      <c r="H19" s="32">
        <f t="shared" si="1"/>
        <v>12</v>
      </c>
      <c r="I19" t="s">
        <v>136</v>
      </c>
      <c r="J19" s="8">
        <v>46174</v>
      </c>
      <c r="N19" t="str">
        <f>IF(ISNUMBER(MATCH(C19,fact_inventaire!$E:$E,0)),"OK","MANQUANT")</f>
        <v>OK</v>
      </c>
    </row>
    <row r="20" spans="1:14">
      <c r="A20" s="13">
        <f t="shared" si="0"/>
        <v>19</v>
      </c>
      <c r="B20" t="str">
        <f>IF(ISNUMBER(SEARCH(" ",E20)),
LEFT(UPPER(E20),2)&amp;MID(UPPER(E20),SEARCH(" ",E20)+1,1),
LEFT(UPPER(E20),3))
&amp;
TEXT(COUNTIF($E$2:E20,E20),"000")</f>
        <v>CAN001</v>
      </c>
      <c r="C20" t="s">
        <v>186</v>
      </c>
      <c r="D20">
        <f>IFERROR(INDEX(dim_categories!$A:$A,MATCH(E20,dim_categories!$C:$C,0)),"")</f>
        <v>6</v>
      </c>
      <c r="E20" t="s">
        <v>49</v>
      </c>
      <c r="F20" t="s">
        <v>49</v>
      </c>
      <c r="G20">
        <v>24</v>
      </c>
      <c r="H20" s="32">
        <f t="shared" ref="H20:H25" si="2">G20/4</f>
        <v>6</v>
      </c>
      <c r="I20" t="s">
        <v>136</v>
      </c>
      <c r="J20" s="8">
        <v>46174</v>
      </c>
      <c r="N20" t="str">
        <f>IF(ISNUMBER(MATCH(C20,fact_inventaire!$E:$E,0)),"OK","MANQUANT")</f>
        <v>OK</v>
      </c>
    </row>
    <row r="21" spans="1:14">
      <c r="A21" s="13">
        <f t="shared" si="0"/>
        <v>20</v>
      </c>
      <c r="B21" t="str">
        <f>IF(ISNUMBER(SEARCH(" ",E21)),
LEFT(UPPER(E21),2)&amp;MID(UPPER(E21),SEARCH(" ",E21)+1,1),
LEFT(UPPER(E21),3))
&amp;
TEXT(COUNTIF($E$2:E21,E21),"000")</f>
        <v>CAN002</v>
      </c>
      <c r="C21" t="s">
        <v>187</v>
      </c>
      <c r="D21">
        <f>IFERROR(INDEX(dim_categories!$A:$A,MATCH(E21,dim_categories!$C:$C,0)),"")</f>
        <v>6</v>
      </c>
      <c r="E21" t="s">
        <v>49</v>
      </c>
      <c r="F21" t="s">
        <v>49</v>
      </c>
      <c r="G21">
        <v>24</v>
      </c>
      <c r="H21" s="32">
        <f t="shared" si="2"/>
        <v>6</v>
      </c>
      <c r="I21" t="s">
        <v>136</v>
      </c>
      <c r="J21" s="8">
        <v>46174</v>
      </c>
      <c r="N21" t="str">
        <f>IF(ISNUMBER(MATCH(C21,fact_inventaire!$E:$E,0)),"OK","MANQUANT")</f>
        <v>OK</v>
      </c>
    </row>
    <row r="22" spans="1:14">
      <c r="A22" s="13">
        <f t="shared" si="0"/>
        <v>21</v>
      </c>
      <c r="B22" t="str">
        <f>IF(ISNUMBER(SEARCH(" ",E22)),
LEFT(UPPER(E22),2)&amp;MID(UPPER(E22),SEARCH(" ",E22)+1,1),
LEFT(UPPER(E22),3))
&amp;
TEXT(COUNTIF($E$2:E22,E22),"000")</f>
        <v>CAN003</v>
      </c>
      <c r="C22" t="s">
        <v>188</v>
      </c>
      <c r="D22">
        <f>IFERROR(INDEX(dim_categories!$A:$A,MATCH(E22,dim_categories!$C:$C,0)),"")</f>
        <v>6</v>
      </c>
      <c r="E22" t="s">
        <v>49</v>
      </c>
      <c r="F22" t="s">
        <v>49</v>
      </c>
      <c r="G22">
        <v>24</v>
      </c>
      <c r="H22" s="32">
        <f t="shared" si="2"/>
        <v>6</v>
      </c>
      <c r="I22" t="s">
        <v>136</v>
      </c>
      <c r="J22" s="8">
        <v>46174</v>
      </c>
      <c r="N22" t="str">
        <f>IF(ISNUMBER(MATCH(C22,fact_inventaire!$E:$E,0)),"OK","MANQUANT")</f>
        <v>OK</v>
      </c>
    </row>
    <row r="23" spans="1:14">
      <c r="A23" s="13">
        <f t="shared" si="0"/>
        <v>22</v>
      </c>
      <c r="B23" t="str">
        <f>IF(ISNUMBER(SEARCH(" ",E23)),
LEFT(UPPER(E23),2)&amp;MID(UPPER(E23),SEARCH(" ",E23)+1,1),
LEFT(UPPER(E23),3))
&amp;
TEXT(COUNTIF($E$2:E23,E23),"000")</f>
        <v>CAN004</v>
      </c>
      <c r="C23" t="s">
        <v>189</v>
      </c>
      <c r="D23">
        <f>IFERROR(INDEX(dim_categories!$A:$A,MATCH(E23,dim_categories!$C:$C,0)),"")</f>
        <v>6</v>
      </c>
      <c r="E23" t="s">
        <v>49</v>
      </c>
      <c r="F23" t="s">
        <v>49</v>
      </c>
      <c r="G23">
        <v>24</v>
      </c>
      <c r="H23" s="32">
        <f t="shared" si="2"/>
        <v>6</v>
      </c>
      <c r="I23" t="s">
        <v>136</v>
      </c>
      <c r="J23" s="8">
        <v>46174</v>
      </c>
      <c r="N23" t="str">
        <f>IF(ISNUMBER(MATCH(C23,fact_inventaire!$E:$E,0)),"OK","MANQUANT")</f>
        <v>OK</v>
      </c>
    </row>
    <row r="24" spans="1:14">
      <c r="A24" s="13">
        <f t="shared" si="0"/>
        <v>23</v>
      </c>
      <c r="B24" t="str">
        <f>IF(ISNUMBER(SEARCH(" ",E24)),
LEFT(UPPER(E24),2)&amp;MID(UPPER(E24),SEARCH(" ",E24)+1,1),
LEFT(UPPER(E24),3))
&amp;
TEXT(COUNTIF($E$2:E24,E24),"000")</f>
        <v>CAN005</v>
      </c>
      <c r="C24" t="s">
        <v>190</v>
      </c>
      <c r="D24">
        <f>IFERROR(INDEX(dim_categories!$A:$A,MATCH(E24,dim_categories!$C:$C,0)),"")</f>
        <v>6</v>
      </c>
      <c r="E24" t="s">
        <v>49</v>
      </c>
      <c r="F24" t="s">
        <v>49</v>
      </c>
      <c r="G24">
        <v>24</v>
      </c>
      <c r="H24" s="32">
        <f t="shared" si="2"/>
        <v>6</v>
      </c>
      <c r="I24" t="s">
        <v>136</v>
      </c>
      <c r="J24" s="8">
        <v>46174</v>
      </c>
      <c r="N24" t="str">
        <f>IF(ISNUMBER(MATCH(C24,fact_inventaire!$E:$E,0)),"OK","MANQUANT")</f>
        <v>OK</v>
      </c>
    </row>
    <row r="25" spans="1:14">
      <c r="A25" s="13">
        <f t="shared" si="0"/>
        <v>24</v>
      </c>
      <c r="B25" t="str">
        <f>IF(ISNUMBER(SEARCH(" ",E25)),
LEFT(UPPER(E25),2)&amp;MID(UPPER(E25),SEARCH(" ",E25)+1,1),
LEFT(UPPER(E25),3))
&amp;
TEXT(COUNTIF($E$2:E25,E25),"000")</f>
        <v>CAN006</v>
      </c>
      <c r="C25" t="s">
        <v>191</v>
      </c>
      <c r="D25">
        <f>IFERROR(INDEX(dim_categories!$A:$A,MATCH(E25,dim_categories!$C:$C,0)),"")</f>
        <v>6</v>
      </c>
      <c r="E25" t="s">
        <v>49</v>
      </c>
      <c r="F25" t="s">
        <v>49</v>
      </c>
      <c r="G25">
        <v>24</v>
      </c>
      <c r="H25" s="32">
        <f t="shared" si="2"/>
        <v>6</v>
      </c>
      <c r="I25" t="s">
        <v>136</v>
      </c>
      <c r="J25" s="8">
        <v>46174</v>
      </c>
      <c r="N25" t="str">
        <f>IF(ISNUMBER(MATCH(C25,fact_inventaire!$E:$E,0)),"OK","MANQUANT")</f>
        <v>OK</v>
      </c>
    </row>
    <row r="26" spans="1:14">
      <c r="A26" s="13">
        <f t="shared" si="0"/>
        <v>25</v>
      </c>
      <c r="B26" t="str">
        <f>IF(ISNUMBER(SEARCH(" ",E26)),
LEFT(UPPER(E26),2)&amp;MID(UPPER(E26),SEARCH(" ",E26)+1,1),
LEFT(UPPER(E26),3))
&amp;
TEXT(COUNTIF($E$2:E26,E26),"000")</f>
        <v>COM001</v>
      </c>
      <c r="C26" t="s">
        <v>160</v>
      </c>
      <c r="D26">
        <f>IFERROR(INDEX(dim_categories!$A:$A,MATCH(E26,dim_categories!$C:$C,0)),"")</f>
        <v>7</v>
      </c>
      <c r="E26" s="6" t="s">
        <v>97</v>
      </c>
      <c r="F26" t="s">
        <v>105</v>
      </c>
      <c r="G26">
        <v>50</v>
      </c>
      <c r="H26" s="32">
        <f>G26/5</f>
        <v>10</v>
      </c>
      <c r="I26" t="s">
        <v>136</v>
      </c>
      <c r="J26" s="8">
        <v>46174</v>
      </c>
      <c r="N26" t="str">
        <f>IF(ISNUMBER(MATCH(C26,fact_inventaire!$E:$E,0)),"OK","MANQUANT")</f>
        <v>OK</v>
      </c>
    </row>
    <row r="27" spans="1:14">
      <c r="A27" s="13">
        <f t="shared" si="0"/>
        <v>26</v>
      </c>
      <c r="B27" t="str">
        <f>IF(ISNUMBER(SEARCH(" ",E27)),
LEFT(UPPER(E27),2)&amp;MID(UPPER(E27),SEARCH(" ",E27)+1,1),
LEFT(UPPER(E27),3))
&amp;
TEXT(COUNTIF($E$2:E27,E27),"000")</f>
        <v>COT001</v>
      </c>
      <c r="C27" t="s">
        <v>176</v>
      </c>
      <c r="D27">
        <f>IFERROR(INDEX(dim_categories!$A:$A,MATCH(E27,dim_categories!$C:$C,0)),"")</f>
        <v>8</v>
      </c>
      <c r="E27" s="6" t="s">
        <v>280</v>
      </c>
      <c r="F27" t="s">
        <v>272</v>
      </c>
      <c r="G27">
        <v>50</v>
      </c>
      <c r="H27" s="32">
        <f>G27/5</f>
        <v>10</v>
      </c>
      <c r="I27" t="s">
        <v>136</v>
      </c>
      <c r="J27" s="8">
        <v>46174</v>
      </c>
      <c r="N27" t="str">
        <f>IF(ISNUMBER(MATCH(C27,fact_inventaire!$E:$E,0)),"OK","MANQUANT")</f>
        <v>OK</v>
      </c>
    </row>
    <row r="28" spans="1:14">
      <c r="A28" s="13">
        <f t="shared" si="0"/>
        <v>27</v>
      </c>
      <c r="B28" t="str">
        <f>IF(ISNUMBER(SEARCH(" ",E28)),
LEFT(UPPER(E28),2)&amp;MID(UPPER(E28),SEARCH(" ",E28)+1,1),
LEFT(UPPER(E28),3))
&amp;
TEXT(COUNTIF($E$2:E28,E28),"000")</f>
        <v>CON001</v>
      </c>
      <c r="C28" t="s">
        <v>177</v>
      </c>
      <c r="D28">
        <f>IFERROR(INDEX(dim_categories!$A:$A,MATCH(E28,dim_categories!$C:$C,0)),"")</f>
        <v>9</v>
      </c>
      <c r="E28" s="6" t="s">
        <v>96</v>
      </c>
      <c r="F28" t="s">
        <v>105</v>
      </c>
      <c r="G28">
        <v>48</v>
      </c>
      <c r="H28" s="32">
        <f>G28/5</f>
        <v>9.6</v>
      </c>
      <c r="I28" t="s">
        <v>136</v>
      </c>
      <c r="J28" s="8">
        <v>46174</v>
      </c>
      <c r="N28" t="str">
        <f>IF(ISNUMBER(MATCH(C28,fact_inventaire!$E:$E,0)),"OK","MANQUANT")</f>
        <v>OK</v>
      </c>
    </row>
    <row r="29" spans="1:14">
      <c r="A29" s="13">
        <f t="shared" si="0"/>
        <v>28</v>
      </c>
      <c r="B29" t="str">
        <f>IF(ISNUMBER(SEARCH(" ",E29)),
LEFT(UPPER(E29),2)&amp;MID(UPPER(E29),SEARCH(" ",E29)+1,1),
LEFT(UPPER(E29),3))
&amp;
TEXT(COUNTIF($E$2:E29,E29),"000")</f>
        <v>CON002</v>
      </c>
      <c r="C29" t="s">
        <v>267</v>
      </c>
      <c r="D29">
        <f>IFERROR(INDEX(dim_categories!$A:$A,MATCH(E29,dim_categories!$C:$C,0)),"")</f>
        <v>9</v>
      </c>
      <c r="E29" s="6" t="s">
        <v>96</v>
      </c>
      <c r="F29" t="s">
        <v>268</v>
      </c>
      <c r="G29">
        <v>98</v>
      </c>
      <c r="H29" s="32">
        <f>G29/5</f>
        <v>19.600000000000001</v>
      </c>
      <c r="I29" t="s">
        <v>136</v>
      </c>
      <c r="J29" s="8">
        <v>46174</v>
      </c>
      <c r="N29" t="str">
        <f>IF(ISNUMBER(MATCH(C29,fact_inventaire!$E:$E,0)),"OK","MANQUANT")</f>
        <v>OK</v>
      </c>
    </row>
    <row r="30" spans="1:14">
      <c r="A30" s="13">
        <f t="shared" si="0"/>
        <v>29</v>
      </c>
      <c r="B30" t="str">
        <f>IF(ISNUMBER(SEARCH(" ",E30)),
LEFT(UPPER(E30),2)&amp;MID(UPPER(E30),SEARCH(" ",E30)+1,1),
LEFT(UPPER(E30),3))
&amp;
TEXT(COUNTIF($E$2:E30,E30),"000")</f>
        <v>CON001</v>
      </c>
      <c r="C30" t="s">
        <v>184</v>
      </c>
      <c r="D30">
        <f>IFERROR(INDEX(dim_categories!$A:$A,MATCH(E30,dim_categories!$C:$C,0)),"")</f>
        <v>10</v>
      </c>
      <c r="E30" s="6" t="s">
        <v>90</v>
      </c>
      <c r="F30" t="s">
        <v>105</v>
      </c>
      <c r="G30">
        <v>50</v>
      </c>
      <c r="H30" s="32">
        <f>G30/5</f>
        <v>10</v>
      </c>
      <c r="I30" t="s">
        <v>136</v>
      </c>
      <c r="J30" s="8">
        <v>46174</v>
      </c>
      <c r="N30" t="str">
        <f>IF(ISNUMBER(MATCH(C30,fact_inventaire!$E:$E,0)),"OK","MANQUANT")</f>
        <v>OK</v>
      </c>
    </row>
    <row r="31" spans="1:14">
      <c r="A31" s="13">
        <f t="shared" si="0"/>
        <v>30</v>
      </c>
      <c r="B31" t="str">
        <f>IF(ISNUMBER(SEARCH(" ",E31)),
LEFT(UPPER(E31),2)&amp;MID(UPPER(E31),SEARCH(" ",E31)+1,1),
LEFT(UPPER(E31),3))
&amp;
TEXT(COUNTIF($E$2:E31,E31),"000")</f>
        <v>CON001</v>
      </c>
      <c r="C31" t="s">
        <v>254</v>
      </c>
      <c r="D31">
        <f>IFERROR(INDEX(dim_categories!$A:$A,MATCH(E31,dim_categories!$C:$C,0)),"")</f>
        <v>11</v>
      </c>
      <c r="E31" s="6" t="s">
        <v>63</v>
      </c>
      <c r="F31" t="s">
        <v>105</v>
      </c>
      <c r="G31">
        <v>1</v>
      </c>
      <c r="H31" s="32">
        <v>1</v>
      </c>
      <c r="I31" t="s">
        <v>136</v>
      </c>
      <c r="J31" s="8">
        <v>46174</v>
      </c>
      <c r="N31" s="109" t="str">
        <f>IF(ISNUMBER(MATCH(C31,fact_inventaire!$E:$E,0)),"OK","MANQUANT")</f>
        <v>MANQUANT</v>
      </c>
    </row>
    <row r="32" spans="1:14">
      <c r="A32" s="13">
        <f t="shared" si="0"/>
        <v>31</v>
      </c>
      <c r="B32" t="str">
        <f>IF(ISNUMBER(SEARCH(" ",E32)),
LEFT(UPPER(E32),2)&amp;MID(UPPER(E32),SEARCH(" ",E32)+1,1),
LEFT(UPPER(E32),3))
&amp;
TEXT(COUNTIF($E$2:E32,E32),"000")</f>
        <v>EAU001</v>
      </c>
      <c r="C32" t="s">
        <v>200</v>
      </c>
      <c r="D32">
        <f>IFERROR(INDEX(dim_categories!$A:$A,MATCH(E32,dim_categories!$C:$C,0)),"")</f>
        <v>12</v>
      </c>
      <c r="E32" s="6" t="s">
        <v>52</v>
      </c>
      <c r="F32" t="s">
        <v>104</v>
      </c>
      <c r="G32">
        <v>1</v>
      </c>
      <c r="H32" s="32">
        <v>4</v>
      </c>
      <c r="I32" t="s">
        <v>136</v>
      </c>
      <c r="J32" s="8">
        <v>46174</v>
      </c>
      <c r="N32" t="str">
        <f>IF(ISNUMBER(MATCH(C32,fact_inventaire!$E:$E,0)),"OK","MANQUANT")</f>
        <v>OK</v>
      </c>
    </row>
    <row r="33" spans="1:14">
      <c r="A33" s="13">
        <f t="shared" si="0"/>
        <v>32</v>
      </c>
      <c r="B33" t="str">
        <f>IF(ISNUMBER(SEARCH(" ",E33)),
LEFT(UPPER(E33),2)&amp;MID(UPPER(E33),SEARCH(" ",E33)+1,1),
LEFT(UPPER(E33),3))
&amp;
TEXT(COUNTIF($E$2:E33,E33),"000")</f>
        <v>EAU002</v>
      </c>
      <c r="C33" t="s">
        <v>211</v>
      </c>
      <c r="D33">
        <f>IFERROR(INDEX(dim_categories!$A:$A,MATCH(E33,dim_categories!$C:$C,0)),"")</f>
        <v>12</v>
      </c>
      <c r="E33" t="s">
        <v>52</v>
      </c>
      <c r="F33" t="s">
        <v>54</v>
      </c>
      <c r="G33">
        <v>12</v>
      </c>
      <c r="H33" s="32">
        <f t="shared" ref="H33:H37" si="3">G33/1</f>
        <v>12</v>
      </c>
      <c r="I33" t="s">
        <v>136</v>
      </c>
      <c r="J33" s="8">
        <v>46174</v>
      </c>
      <c r="N33" t="str">
        <f>IF(ISNUMBER(MATCH(C33,fact_inventaire!$E:$E,0)),"OK","MANQUANT")</f>
        <v>OK</v>
      </c>
    </row>
    <row r="34" spans="1:14">
      <c r="A34" s="13">
        <f t="shared" si="0"/>
        <v>33</v>
      </c>
      <c r="B34" t="str">
        <f>IF(ISNUMBER(SEARCH(" ",E34)),
LEFT(UPPER(E34),2)&amp;MID(UPPER(E34),SEARCH(" ",E34)+1,1),
LEFT(UPPER(E34),3))
&amp;
TEXT(COUNTIF($E$2:E34,E34),"000")</f>
        <v>EAU003</v>
      </c>
      <c r="C34" t="s">
        <v>212</v>
      </c>
      <c r="D34">
        <f>IFERROR(INDEX(dim_categories!$A:$A,MATCH(E34,dim_categories!$C:$C,0)),"")</f>
        <v>12</v>
      </c>
      <c r="E34" t="s">
        <v>52</v>
      </c>
      <c r="F34" t="s">
        <v>54</v>
      </c>
      <c r="G34">
        <v>6</v>
      </c>
      <c r="H34" s="32">
        <f t="shared" si="3"/>
        <v>6</v>
      </c>
      <c r="I34" t="s">
        <v>136</v>
      </c>
      <c r="J34" s="8">
        <v>46174</v>
      </c>
      <c r="N34" t="str">
        <f>IF(ISNUMBER(MATCH(C34,fact_inventaire!$E:$E,0)),"OK","MANQUANT")</f>
        <v>OK</v>
      </c>
    </row>
    <row r="35" spans="1:14">
      <c r="A35" s="13">
        <f t="shared" si="0"/>
        <v>34</v>
      </c>
      <c r="B35" t="str">
        <f>IF(ISNUMBER(SEARCH(" ",E35)),
LEFT(UPPER(E35),2)&amp;MID(UPPER(E35),SEARCH(" ",E35)+1,1),
LEFT(UPPER(E35),3))
&amp;
TEXT(COUNTIF($E$2:E35,E35),"000")</f>
        <v>EAU004</v>
      </c>
      <c r="C35" t="s">
        <v>213</v>
      </c>
      <c r="D35">
        <f>IFERROR(INDEX(dim_categories!$A:$A,MATCH(E35,dim_categories!$C:$C,0)),"")</f>
        <v>12</v>
      </c>
      <c r="E35" t="s">
        <v>52</v>
      </c>
      <c r="F35" t="s">
        <v>54</v>
      </c>
      <c r="G35">
        <v>10</v>
      </c>
      <c r="H35" s="32">
        <f t="shared" si="3"/>
        <v>10</v>
      </c>
      <c r="I35" t="s">
        <v>136</v>
      </c>
      <c r="J35" s="8">
        <v>46174</v>
      </c>
      <c r="N35" t="str">
        <f>IF(ISNUMBER(MATCH(C35,fact_inventaire!$E:$E,0)),"OK","MANQUANT")</f>
        <v>OK</v>
      </c>
    </row>
    <row r="36" spans="1:14">
      <c r="A36" s="13">
        <f t="shared" si="0"/>
        <v>35</v>
      </c>
      <c r="B36" t="str">
        <f>IF(ISNUMBER(SEARCH(" ",E36)),
LEFT(UPPER(E36),2)&amp;MID(UPPER(E36),SEARCH(" ",E36)+1,1),
LEFT(UPPER(E36),3))
&amp;
TEXT(COUNTIF($E$2:E36,E36),"000")</f>
        <v>EAU005</v>
      </c>
      <c r="C36" t="s">
        <v>214</v>
      </c>
      <c r="D36">
        <f>IFERROR(INDEX(dim_categories!$A:$A,MATCH(E36,dim_categories!$C:$C,0)),"")</f>
        <v>12</v>
      </c>
      <c r="E36" t="s">
        <v>52</v>
      </c>
      <c r="F36" t="s">
        <v>54</v>
      </c>
      <c r="G36">
        <v>12</v>
      </c>
      <c r="H36" s="32">
        <f t="shared" si="3"/>
        <v>12</v>
      </c>
      <c r="I36" t="s">
        <v>136</v>
      </c>
      <c r="J36" s="8">
        <v>46174</v>
      </c>
      <c r="N36" t="str">
        <f>IF(ISNUMBER(MATCH(C36,fact_inventaire!$E:$E,0)),"OK","MANQUANT")</f>
        <v>OK</v>
      </c>
    </row>
    <row r="37" spans="1:14">
      <c r="A37" s="13">
        <f t="shared" si="0"/>
        <v>36</v>
      </c>
      <c r="B37" t="str">
        <f>IF(ISNUMBER(SEARCH(" ",E37)),
LEFT(UPPER(E37),2)&amp;MID(UPPER(E37),SEARCH(" ",E37)+1,1),
LEFT(UPPER(E37),3))
&amp;
TEXT(COUNTIF($E$2:E37,E37),"000")</f>
        <v>EAU006</v>
      </c>
      <c r="C37" t="s">
        <v>215</v>
      </c>
      <c r="D37">
        <f>IFERROR(INDEX(dim_categories!$A:$A,MATCH(E37,dim_categories!$C:$C,0)),"")</f>
        <v>12</v>
      </c>
      <c r="E37" t="s">
        <v>52</v>
      </c>
      <c r="F37" t="s">
        <v>54</v>
      </c>
      <c r="G37">
        <v>6</v>
      </c>
      <c r="H37" s="32">
        <f t="shared" si="3"/>
        <v>6</v>
      </c>
      <c r="I37" t="s">
        <v>136</v>
      </c>
      <c r="J37" s="8">
        <v>46174</v>
      </c>
      <c r="N37" t="str">
        <f>IF(ISNUMBER(MATCH(C37,fact_inventaire!$E:$E,0)),"OK","MANQUANT")</f>
        <v>OK</v>
      </c>
    </row>
    <row r="38" spans="1:14">
      <c r="A38" s="13">
        <f t="shared" si="0"/>
        <v>37</v>
      </c>
      <c r="B38" t="str">
        <f>IF(ISNUMBER(SEARCH(" ",E38)),
LEFT(UPPER(E38),2)&amp;MID(UPPER(E38),SEARCH(" ",E38)+1,1),
LEFT(UPPER(E38),3))
&amp;
TEXT(COUNTIF($E$2:E38,E38),"000")</f>
        <v>ELE001</v>
      </c>
      <c r="C38" t="s">
        <v>244</v>
      </c>
      <c r="D38">
        <f>IFERROR(INDEX(dim_categories!$A:$A,MATCH(E38,dim_categories!$C:$C,0)),"")</f>
        <v>13</v>
      </c>
      <c r="E38" t="s">
        <v>100</v>
      </c>
      <c r="F38" t="s">
        <v>105</v>
      </c>
      <c r="G38" s="23">
        <v>10</v>
      </c>
      <c r="H38" s="32">
        <v>1</v>
      </c>
      <c r="I38" t="s">
        <v>136</v>
      </c>
      <c r="J38" s="8">
        <v>46174</v>
      </c>
      <c r="N38" t="str">
        <f>IF(ISNUMBER(MATCH(C38,fact_inventaire!$E:$E,0)),"OK","MANQUANT")</f>
        <v>OK</v>
      </c>
    </row>
    <row r="39" spans="1:14">
      <c r="A39" s="13">
        <f t="shared" si="0"/>
        <v>38</v>
      </c>
      <c r="B39" t="str">
        <f>IF(ISNUMBER(SEARCH(" ",E39)),
LEFT(UPPER(E39),2)&amp;MID(UPPER(E39),SEARCH(" ",E39)+1,1),
LEFT(UPPER(E39),3))
&amp;
TEXT(COUNTIF($E$2:E39,E39),"000")</f>
        <v>ELE002</v>
      </c>
      <c r="C39" t="s">
        <v>245</v>
      </c>
      <c r="D39">
        <f>IFERROR(INDEX(dim_categories!$A:$A,MATCH(E39,dim_categories!$C:$C,0)),"")</f>
        <v>13</v>
      </c>
      <c r="E39" t="s">
        <v>100</v>
      </c>
      <c r="F39" t="s">
        <v>105</v>
      </c>
      <c r="G39" s="23">
        <v>10</v>
      </c>
      <c r="H39" s="32">
        <v>1</v>
      </c>
      <c r="I39" t="s">
        <v>136</v>
      </c>
      <c r="J39" s="8">
        <v>46174</v>
      </c>
      <c r="N39" t="str">
        <f>IF(ISNUMBER(MATCH(C39,fact_inventaire!$E:$E,0)),"OK","MANQUANT")</f>
        <v>OK</v>
      </c>
    </row>
    <row r="40" spans="1:14">
      <c r="A40" s="13">
        <f t="shared" si="0"/>
        <v>39</v>
      </c>
      <c r="B40" t="str">
        <f>IF(ISNUMBER(SEARCH(" ",E40)),
LEFT(UPPER(E40),2)&amp;MID(UPPER(E40),SEARCH(" ",E40)+1,1),
LEFT(UPPER(E40),3))
&amp;
TEXT(COUNTIF($E$2:E40,E40),"000")</f>
        <v>EMB001</v>
      </c>
      <c r="C40" t="s">
        <v>246</v>
      </c>
      <c r="D40">
        <f>IFERROR(INDEX(dim_categories!$A:$A,MATCH(E40,dim_categories!$C:$C,0)),"")</f>
        <v>14</v>
      </c>
      <c r="E40" t="s">
        <v>87</v>
      </c>
      <c r="F40" t="s">
        <v>106</v>
      </c>
      <c r="G40" s="23">
        <v>10</v>
      </c>
      <c r="H40" s="32">
        <v>1</v>
      </c>
      <c r="I40" t="s">
        <v>136</v>
      </c>
      <c r="J40" s="8">
        <v>46174</v>
      </c>
      <c r="N40" t="str">
        <f>IF(ISNUMBER(MATCH(C40,fact_inventaire!$E:$E,0)),"OK","MANQUANT")</f>
        <v>OK</v>
      </c>
    </row>
    <row r="41" spans="1:14">
      <c r="A41" s="13">
        <f t="shared" si="0"/>
        <v>40</v>
      </c>
      <c r="B41" t="str">
        <f>IF(ISNUMBER(SEARCH(" ",E41)),
LEFT(UPPER(E41),2)&amp;MID(UPPER(E41),SEARCH(" ",E41)+1,1),
LEFT(UPPER(E41),3))
&amp;
TEXT(COUNTIF($E$2:E41,E41),"000")</f>
        <v>ENT001</v>
      </c>
      <c r="C41" t="s">
        <v>156</v>
      </c>
      <c r="D41">
        <f>IFERROR(INDEX(dim_categories!$A:$A,MATCH(E41,dim_categories!$C:$C,0)),"")</f>
        <v>15</v>
      </c>
      <c r="E41" t="s">
        <v>94</v>
      </c>
      <c r="F41" t="s">
        <v>105</v>
      </c>
      <c r="G41">
        <v>156</v>
      </c>
      <c r="H41" s="32">
        <f>G41/15</f>
        <v>10.4</v>
      </c>
      <c r="I41" t="s">
        <v>136</v>
      </c>
      <c r="J41" s="8">
        <v>46174</v>
      </c>
      <c r="N41" t="str">
        <f>IF(ISNUMBER(MATCH(C41,fact_inventaire!$E:$E,0)),"OK","MANQUANT")</f>
        <v>OK</v>
      </c>
    </row>
    <row r="42" spans="1:14">
      <c r="A42" s="13">
        <f t="shared" si="0"/>
        <v>41</v>
      </c>
      <c r="B42" t="str">
        <f>IF(ISNUMBER(SEARCH(" ",E42)),
LEFT(UPPER(E42),2)&amp;MID(UPPER(E42),SEARCH(" ",E42)+1,1),
LEFT(UPPER(E42),3))
&amp;
TEXT(COUNTIF($E$2:E42,E42),"000")</f>
        <v>ENT002</v>
      </c>
      <c r="C42" t="s">
        <v>169</v>
      </c>
      <c r="D42">
        <f>IFERROR(INDEX(dim_categories!$A:$A,MATCH(E42,dim_categories!$C:$C,0)),"")</f>
        <v>15</v>
      </c>
      <c r="E42" t="s">
        <v>94</v>
      </c>
      <c r="F42" t="s">
        <v>105</v>
      </c>
      <c r="G42">
        <v>150</v>
      </c>
      <c r="H42" s="32">
        <f>G42/15</f>
        <v>10</v>
      </c>
      <c r="I42" t="s">
        <v>136</v>
      </c>
      <c r="J42" s="8">
        <v>46174</v>
      </c>
      <c r="N42" t="str">
        <f>IF(ISNUMBER(MATCH(C42,fact_inventaire!$E:$E,0)),"OK","MANQUANT")</f>
        <v>OK</v>
      </c>
    </row>
    <row r="43" spans="1:14">
      <c r="A43" s="13">
        <f t="shared" si="0"/>
        <v>42</v>
      </c>
      <c r="B43" t="str">
        <f>IF(ISNUMBER(SEARCH(" ",E43)),
LEFT(UPPER(E43),2)&amp;MID(UPPER(E43),SEARCH(" ",E43)+1,1),
LEFT(UPPER(E43),3))
&amp;
TEXT(COUNTIF($E$2:E43,E43),"000")</f>
        <v>ENT003</v>
      </c>
      <c r="C43" t="s">
        <v>247</v>
      </c>
      <c r="D43">
        <f>IFERROR(INDEX(dim_categories!$A:$A,MATCH(E43,dim_categories!$C:$C,0)),"")</f>
        <v>15</v>
      </c>
      <c r="E43" t="s">
        <v>94</v>
      </c>
      <c r="F43" t="s">
        <v>105</v>
      </c>
      <c r="G43" s="23">
        <v>10</v>
      </c>
      <c r="H43" s="32">
        <v>1</v>
      </c>
      <c r="I43" t="s">
        <v>136</v>
      </c>
      <c r="J43" s="8">
        <v>46174</v>
      </c>
      <c r="N43" t="str">
        <f>IF(ISNUMBER(MATCH(C43,fact_inventaire!$E:$E,0)),"OK","MANQUANT")</f>
        <v>OK</v>
      </c>
    </row>
    <row r="44" spans="1:14">
      <c r="A44" s="13">
        <f t="shared" si="0"/>
        <v>43</v>
      </c>
      <c r="B44" t="str">
        <f>IF(ISNUMBER(SEARCH(" ",E44)),
LEFT(UPPER(E44),2)&amp;MID(UPPER(E44),SEARCH(" ",E44)+1,1),
LEFT(UPPER(E44),3))
&amp;
TEXT(COUNTIF($E$2:E44,E44),"000")</f>
        <v>EPI001</v>
      </c>
      <c r="C44" t="s">
        <v>171</v>
      </c>
      <c r="D44">
        <f>IFERROR(INDEX(dim_categories!$A:$A,MATCH(E44,dim_categories!$C:$C,0)),"")</f>
        <v>16</v>
      </c>
      <c r="E44" t="s">
        <v>91</v>
      </c>
      <c r="F44" t="s">
        <v>106</v>
      </c>
      <c r="G44">
        <v>12</v>
      </c>
      <c r="H44" s="32">
        <f>G44/4</f>
        <v>3</v>
      </c>
      <c r="I44" t="s">
        <v>136</v>
      </c>
      <c r="J44" s="8">
        <v>46174</v>
      </c>
      <c r="N44" t="str">
        <f>IF(ISNUMBER(MATCH(C44,fact_inventaire!$E:$E,0)),"OK","MANQUANT")</f>
        <v>OK</v>
      </c>
    </row>
    <row r="45" spans="1:14">
      <c r="A45" s="13">
        <f t="shared" si="0"/>
        <v>44</v>
      </c>
      <c r="B45" t="str">
        <f>IF(ISNUMBER(SEARCH(" ",E45)),
LEFT(UPPER(E45),2)&amp;MID(UPPER(E45),SEARCH(" ",E45)+1,1),
LEFT(UPPER(E45),3))
&amp;
TEXT(COUNTIF($E$2:E45,E45),"000")</f>
        <v>EPI002</v>
      </c>
      <c r="C45" t="s">
        <v>162</v>
      </c>
      <c r="D45">
        <f>IFERROR(INDEX(dim_categories!$A:$A,MATCH(E45,dim_categories!$C:$C,0)),"")</f>
        <v>16</v>
      </c>
      <c r="E45" t="s">
        <v>91</v>
      </c>
      <c r="F45" t="s">
        <v>106</v>
      </c>
      <c r="G45">
        <v>150</v>
      </c>
      <c r="H45" s="32">
        <f>G45/15</f>
        <v>10</v>
      </c>
      <c r="I45" t="s">
        <v>136</v>
      </c>
      <c r="J45" s="8">
        <v>46174</v>
      </c>
      <c r="N45" t="str">
        <f>IF(ISNUMBER(MATCH(C45,fact_inventaire!$E:$E,0)),"OK","MANQUANT")</f>
        <v>OK</v>
      </c>
    </row>
    <row r="46" spans="1:14">
      <c r="A46" s="13">
        <f t="shared" si="0"/>
        <v>45</v>
      </c>
      <c r="B46" t="str">
        <f>IF(ISNUMBER(SEARCH(" ",E46)),
LEFT(UPPER(E46),2)&amp;MID(UPPER(E46),SEARCH(" ",E46)+1,1),
LEFT(UPPER(E46),3))
&amp;
TEXT(COUNTIF($E$2:E46,E46),"000")</f>
        <v>EPI003</v>
      </c>
      <c r="C46" t="s">
        <v>164</v>
      </c>
      <c r="D46">
        <f>IFERROR(INDEX(dim_categories!$A:$A,MATCH(E46,dim_categories!$C:$C,0)),"")</f>
        <v>16</v>
      </c>
      <c r="E46" t="s">
        <v>91</v>
      </c>
      <c r="F46" t="s">
        <v>106</v>
      </c>
      <c r="G46">
        <v>50</v>
      </c>
      <c r="H46" s="32">
        <f>G46/5</f>
        <v>10</v>
      </c>
      <c r="I46" t="s">
        <v>136</v>
      </c>
      <c r="J46" s="8">
        <v>46174</v>
      </c>
      <c r="N46" t="str">
        <f>IF(ISNUMBER(MATCH(C46,fact_inventaire!$E:$E,0)),"OK","MANQUANT")</f>
        <v>OK</v>
      </c>
    </row>
    <row r="47" spans="1:14">
      <c r="A47" s="13">
        <f t="shared" si="0"/>
        <v>46</v>
      </c>
      <c r="B47" t="str">
        <f>IF(ISNUMBER(SEARCH(" ",E47)),
LEFT(UPPER(E47),2)&amp;MID(UPPER(E47),SEARCH(" ",E47)+1,1),
LEFT(UPPER(E47),3))
&amp;
TEXT(COUNTIF($E$2:E47,E47),"000")</f>
        <v>EPI004</v>
      </c>
      <c r="C47" t="s">
        <v>175</v>
      </c>
      <c r="D47">
        <f>IFERROR(INDEX(dim_categories!$A:$A,MATCH(E47,dim_categories!$C:$C,0)),"")</f>
        <v>16</v>
      </c>
      <c r="E47" t="s">
        <v>91</v>
      </c>
      <c r="F47" t="s">
        <v>54</v>
      </c>
      <c r="G47">
        <v>15</v>
      </c>
      <c r="H47" s="32">
        <f>G47/5</f>
        <v>3</v>
      </c>
      <c r="I47" t="s">
        <v>136</v>
      </c>
      <c r="J47" s="8">
        <v>46174</v>
      </c>
      <c r="N47" t="str">
        <f>IF(ISNUMBER(MATCH(C47,fact_inventaire!$E:$E,0)),"OK","MANQUANT")</f>
        <v>OK</v>
      </c>
    </row>
    <row r="48" spans="1:14">
      <c r="A48" s="13">
        <f t="shared" si="0"/>
        <v>47</v>
      </c>
      <c r="B48" t="str">
        <f>IF(ISNUMBER(SEARCH(" ",E48)),
LEFT(UPPER(E48),2)&amp;MID(UPPER(E48),SEARCH(" ",E48)+1,1),
LEFT(UPPER(E48),3))
&amp;
TEXT(COUNTIF($E$2:E48,E48),"000")</f>
        <v>FOU001</v>
      </c>
      <c r="C48" t="s">
        <v>249</v>
      </c>
      <c r="D48">
        <f>IFERROR(INDEX(dim_categories!$A:$A,MATCH(E48,dim_categories!$C:$C,0)),"")</f>
        <v>17</v>
      </c>
      <c r="E48" t="s">
        <v>99</v>
      </c>
      <c r="F48" t="s">
        <v>105</v>
      </c>
      <c r="G48" s="23">
        <v>10</v>
      </c>
      <c r="H48" s="32">
        <v>1</v>
      </c>
      <c r="I48" t="s">
        <v>136</v>
      </c>
      <c r="J48" s="8">
        <v>46174</v>
      </c>
      <c r="N48" t="str">
        <f>IF(ISNUMBER(MATCH(C48,fact_inventaire!$E:$E,0)),"OK","MANQUANT")</f>
        <v>OK</v>
      </c>
    </row>
    <row r="49" spans="1:14">
      <c r="A49" s="13">
        <f t="shared" si="0"/>
        <v>48</v>
      </c>
      <c r="B49" t="str">
        <f>IF(ISNUMBER(SEARCH(" ",E49)),
LEFT(UPPER(E49),2)&amp;MID(UPPER(E49),SEARCH(" ",E49)+1,1),
LEFT(UPPER(E49),3))
&amp;
TEXT(COUNTIF($E$2:E49,E49),"000")</f>
        <v>FOU002</v>
      </c>
      <c r="C49" t="s">
        <v>250</v>
      </c>
      <c r="D49">
        <f>IFERROR(INDEX(dim_categories!$A:$A,MATCH(E49,dim_categories!$C:$C,0)),"")</f>
        <v>17</v>
      </c>
      <c r="E49" t="s">
        <v>99</v>
      </c>
      <c r="F49" t="s">
        <v>105</v>
      </c>
      <c r="G49" s="23">
        <v>10</v>
      </c>
      <c r="H49" s="32">
        <v>1</v>
      </c>
      <c r="I49" t="s">
        <v>136</v>
      </c>
      <c r="J49" s="8">
        <v>46174</v>
      </c>
      <c r="N49" t="str">
        <f>IF(ISNUMBER(MATCH(C49,fact_inventaire!$E:$E,0)),"OK","MANQUANT")</f>
        <v>OK</v>
      </c>
    </row>
    <row r="50" spans="1:14">
      <c r="A50" s="13">
        <f t="shared" si="0"/>
        <v>49</v>
      </c>
      <c r="B50" t="str">
        <f>IF(ISNUMBER(SEARCH(" ",E50)),
LEFT(UPPER(E50),2)&amp;MID(UPPER(E50),SEARCH(" ",E50)+1,1),
LEFT(UPPER(E50),3))
&amp;
TEXT(COUNTIF($E$2:E50,E50),"000")</f>
        <v>FOU003</v>
      </c>
      <c r="C50" t="s">
        <v>251</v>
      </c>
      <c r="D50">
        <f>IFERROR(INDEX(dim_categories!$A:$A,MATCH(E50,dim_categories!$C:$C,0)),"")</f>
        <v>17</v>
      </c>
      <c r="E50" t="s">
        <v>99</v>
      </c>
      <c r="F50" t="s">
        <v>105</v>
      </c>
      <c r="G50" s="23">
        <v>10</v>
      </c>
      <c r="H50" s="32">
        <v>1</v>
      </c>
      <c r="I50" t="s">
        <v>136</v>
      </c>
      <c r="J50" s="8">
        <v>46174</v>
      </c>
      <c r="N50" t="str">
        <f>IF(ISNUMBER(MATCH(C50,fact_inventaire!$E:$E,0)),"OK","MANQUANT")</f>
        <v>OK</v>
      </c>
    </row>
    <row r="51" spans="1:14">
      <c r="A51" s="13">
        <f t="shared" si="0"/>
        <v>50</v>
      </c>
      <c r="B51" t="str">
        <f>IF(ISNUMBER(SEARCH(" ",E51)),
LEFT(UPPER(E51),2)&amp;MID(UPPER(E51),SEARCH(" ",E51)+1,1),
LEFT(UPPER(E51),3))
&amp;
TEXT(COUNTIF($E$2:E51,E51),"000")</f>
        <v>FOU004</v>
      </c>
      <c r="C51" t="s">
        <v>248</v>
      </c>
      <c r="D51">
        <f>IFERROR(INDEX(dim_categories!$A:$A,MATCH(E51,dim_categories!$C:$C,0)),"")</f>
        <v>17</v>
      </c>
      <c r="E51" t="s">
        <v>99</v>
      </c>
      <c r="F51" t="s">
        <v>105</v>
      </c>
      <c r="G51" s="23">
        <v>10</v>
      </c>
      <c r="H51" s="32">
        <v>1</v>
      </c>
      <c r="I51" t="s">
        <v>136</v>
      </c>
      <c r="J51" s="8">
        <v>46174</v>
      </c>
      <c r="N51" t="str">
        <f>IF(ISNUMBER(MATCH(C51,fact_inventaire!$E:$E,0)),"OK","MANQUANT")</f>
        <v>OK</v>
      </c>
    </row>
    <row r="52" spans="1:14">
      <c r="A52" s="13">
        <f t="shared" si="0"/>
        <v>51</v>
      </c>
      <c r="B52" t="str">
        <f>IF(ISNUMBER(SEARCH(" ",E52)),
LEFT(UPPER(E52),2)&amp;MID(UPPER(E52),SEARCH(" ",E52)+1,1),
LEFT(UPPER(E52),3))
&amp;
TEXT(COUNTIF($E$2:E52,E52),"000")</f>
        <v>GUB001</v>
      </c>
      <c r="C52" t="s">
        <v>236</v>
      </c>
      <c r="D52">
        <f>IFERROR(INDEX(dim_categories!$A:$A,MATCH(E52,dim_categories!$C:$C,0)),"")</f>
        <v>18</v>
      </c>
      <c r="E52" t="s">
        <v>278</v>
      </c>
      <c r="F52" t="s">
        <v>54</v>
      </c>
      <c r="G52">
        <v>12</v>
      </c>
      <c r="H52" s="32">
        <f t="shared" ref="H52:H57" si="4">G52/1</f>
        <v>12</v>
      </c>
      <c r="I52" t="s">
        <v>136</v>
      </c>
      <c r="J52" s="8">
        <v>46174</v>
      </c>
      <c r="N52" t="str">
        <f>IF(ISNUMBER(MATCH(C52,fact_inventaire!$E:$E,0)),"OK","MANQUANT")</f>
        <v>OK</v>
      </c>
    </row>
    <row r="53" spans="1:14">
      <c r="A53" s="13">
        <f t="shared" si="0"/>
        <v>52</v>
      </c>
      <c r="B53" t="str">
        <f>IF(ISNUMBER(SEARCH(" ",E53)),
LEFT(UPPER(E53),2)&amp;MID(UPPER(E53),SEARCH(" ",E53)+1,1),
LEFT(UPPER(E53),3))
&amp;
TEXT(COUNTIF($E$2:E53,E53),"000")</f>
        <v>GUB002</v>
      </c>
      <c r="C53" t="s">
        <v>237</v>
      </c>
      <c r="D53">
        <f>IFERROR(INDEX(dim_categories!$A:$A,MATCH(E53,dim_categories!$C:$C,0)),"")</f>
        <v>18</v>
      </c>
      <c r="E53" t="s">
        <v>278</v>
      </c>
      <c r="F53" t="s">
        <v>54</v>
      </c>
      <c r="G53">
        <v>24</v>
      </c>
      <c r="H53" s="32">
        <f t="shared" si="4"/>
        <v>24</v>
      </c>
      <c r="I53" t="s">
        <v>136</v>
      </c>
      <c r="J53" s="8">
        <v>46174</v>
      </c>
      <c r="N53" t="str">
        <f>IF(ISNUMBER(MATCH(C53,fact_inventaire!$E:$E,0)),"OK","MANQUANT")</f>
        <v>OK</v>
      </c>
    </row>
    <row r="54" spans="1:14">
      <c r="A54" s="13">
        <f t="shared" si="0"/>
        <v>53</v>
      </c>
      <c r="B54" t="str">
        <f>IF(ISNUMBER(SEARCH(" ",E54)),
LEFT(UPPER(E54),2)&amp;MID(UPPER(E54),SEARCH(" ",E54)+1,1),
LEFT(UPPER(E54),3))
&amp;
TEXT(COUNTIF($E$2:E54,E54),"000")</f>
        <v>GUB003</v>
      </c>
      <c r="C54" t="s">
        <v>370</v>
      </c>
      <c r="D54">
        <f>IFERROR(INDEX(dim_categories!$A:$A,MATCH(E54,dim_categories!$C:$C,0)),"")</f>
        <v>18</v>
      </c>
      <c r="E54" t="s">
        <v>278</v>
      </c>
      <c r="F54" t="s">
        <v>54</v>
      </c>
      <c r="G54">
        <v>12</v>
      </c>
      <c r="H54" s="32">
        <f t="shared" si="4"/>
        <v>12</v>
      </c>
      <c r="I54" t="s">
        <v>136</v>
      </c>
      <c r="J54" s="8">
        <v>46174</v>
      </c>
      <c r="N54" t="str">
        <f>IF(ISNUMBER(MATCH(C54,fact_inventaire!$E:$E,0)),"OK","MANQUANT")</f>
        <v>OK</v>
      </c>
    </row>
    <row r="55" spans="1:14">
      <c r="A55" s="13">
        <f t="shared" si="0"/>
        <v>54</v>
      </c>
      <c r="B55" t="str">
        <f>IF(ISNUMBER(SEARCH(" ",E55)),
LEFT(UPPER(E55),2)&amp;MID(UPPER(E55),SEARCH(" ",E55)+1,1),
LEFT(UPPER(E55),3))
&amp;
TEXT(COUNTIF($E$2:E55,E55),"000")</f>
        <v>GUB004</v>
      </c>
      <c r="C55" t="s">
        <v>235</v>
      </c>
      <c r="D55">
        <f>IFERROR(INDEX(dim_categories!$A:$A,MATCH(E55,dim_categories!$C:$C,0)),"")</f>
        <v>18</v>
      </c>
      <c r="E55" t="s">
        <v>278</v>
      </c>
      <c r="F55" t="s">
        <v>54</v>
      </c>
      <c r="G55">
        <v>24</v>
      </c>
      <c r="H55" s="32">
        <f t="shared" si="4"/>
        <v>24</v>
      </c>
      <c r="I55" t="s">
        <v>136</v>
      </c>
      <c r="J55" s="8">
        <v>46174</v>
      </c>
      <c r="N55" t="str">
        <f>IF(ISNUMBER(MATCH(C55,fact_inventaire!$E:$E,0)),"OK","MANQUANT")</f>
        <v>OK</v>
      </c>
    </row>
    <row r="56" spans="1:14">
      <c r="A56" s="13">
        <f t="shared" si="0"/>
        <v>55</v>
      </c>
      <c r="B56" t="str">
        <f>IF(ISNUMBER(SEARCH(" ",E56)),
LEFT(UPPER(E56),2)&amp;MID(UPPER(E56),SEARCH(" ",E56)+1,1),
LEFT(UPPER(E56),3))
&amp;
TEXT(COUNTIF($E$2:E56,E56),"000")</f>
        <v>GUB005</v>
      </c>
      <c r="C56" t="s">
        <v>369</v>
      </c>
      <c r="D56">
        <f>IFERROR(INDEX(dim_categories!$A:$A,MATCH(E56,dim_categories!$C:$C,0)),"")</f>
        <v>18</v>
      </c>
      <c r="E56" t="s">
        <v>278</v>
      </c>
      <c r="F56" t="s">
        <v>54</v>
      </c>
      <c r="G56">
        <v>15</v>
      </c>
      <c r="H56" s="32">
        <f t="shared" si="4"/>
        <v>15</v>
      </c>
      <c r="I56" t="s">
        <v>136</v>
      </c>
      <c r="J56" s="8">
        <v>46174</v>
      </c>
      <c r="N56" t="str">
        <f>IF(ISNUMBER(MATCH(C56,fact_inventaire!$E:$E,0)),"OK","MANQUANT")</f>
        <v>OK</v>
      </c>
    </row>
    <row r="57" spans="1:14">
      <c r="A57" s="13">
        <f t="shared" si="0"/>
        <v>56</v>
      </c>
      <c r="B57" t="str">
        <f>IF(ISNUMBER(SEARCH(" ",E57)),
LEFT(UPPER(E57),2)&amp;MID(UPPER(E57),SEARCH(" ",E57)+1,1),
LEFT(UPPER(E57),3))
&amp;
TEXT(COUNTIF($E$2:E57,E57),"000")</f>
        <v>GUB006</v>
      </c>
      <c r="C57" t="s">
        <v>238</v>
      </c>
      <c r="D57">
        <f>IFERROR(INDEX(dim_categories!$A:$A,MATCH(E57,dim_categories!$C:$C,0)),"")</f>
        <v>18</v>
      </c>
      <c r="E57" t="s">
        <v>278</v>
      </c>
      <c r="F57" t="s">
        <v>54</v>
      </c>
      <c r="G57">
        <v>12</v>
      </c>
      <c r="H57" s="32">
        <f t="shared" si="4"/>
        <v>12</v>
      </c>
      <c r="I57" t="s">
        <v>136</v>
      </c>
      <c r="J57" s="8">
        <v>46174</v>
      </c>
      <c r="N57" t="str">
        <f>IF(ISNUMBER(MATCH(C57,fact_inventaire!$E:$E,0)),"OK","MANQUANT")</f>
        <v>OK</v>
      </c>
    </row>
    <row r="58" spans="1:14">
      <c r="A58" s="13">
        <f t="shared" si="0"/>
        <v>57</v>
      </c>
      <c r="B58" t="str">
        <f>IF(ISNUMBER(SEARCH(" ",E58)),
LEFT(UPPER(E58),2)&amp;MID(UPPER(E58),SEARCH(" ",E58)+1,1),
LEFT(UPPER(E58),3))
&amp;
TEXT(COUNTIF($E$2:E58,E58),"000")</f>
        <v>HYG001</v>
      </c>
      <c r="C58" t="s">
        <v>218</v>
      </c>
      <c r="D58">
        <f>IFERROR(INDEX(dim_categories!$A:$A,MATCH(E58,dim_categories!$C:$C,0)),"")</f>
        <v>19</v>
      </c>
      <c r="E58" t="s">
        <v>93</v>
      </c>
      <c r="F58" t="s">
        <v>105</v>
      </c>
      <c r="G58">
        <v>60</v>
      </c>
      <c r="H58" s="32">
        <f>G58/10</f>
        <v>6</v>
      </c>
      <c r="I58" t="s">
        <v>136</v>
      </c>
      <c r="J58" s="8">
        <v>46174</v>
      </c>
      <c r="N58" t="str">
        <f>IF(ISNUMBER(MATCH(C58,fact_inventaire!$E:$E,0)),"OK","MANQUANT")</f>
        <v>OK</v>
      </c>
    </row>
    <row r="59" spans="1:14">
      <c r="A59" s="13">
        <f t="shared" si="0"/>
        <v>58</v>
      </c>
      <c r="B59" t="str">
        <f>IF(ISNUMBER(SEARCH(" ",E59)),
LEFT(UPPER(E59),2)&amp;MID(UPPER(E59),SEARCH(" ",E59)+1,1),
LEFT(UPPER(E59),3))
&amp;
TEXT(COUNTIF($E$2:E59,E59),"000")</f>
        <v>HYG002</v>
      </c>
      <c r="C59" t="s">
        <v>219</v>
      </c>
      <c r="D59">
        <f>IFERROR(INDEX(dim_categories!$A:$A,MATCH(E59,dim_categories!$C:$C,0)),"")</f>
        <v>19</v>
      </c>
      <c r="E59" t="s">
        <v>93</v>
      </c>
      <c r="F59" t="s">
        <v>105</v>
      </c>
      <c r="G59">
        <v>60</v>
      </c>
      <c r="H59" s="32">
        <f>G59/10</f>
        <v>6</v>
      </c>
      <c r="I59" t="s">
        <v>136</v>
      </c>
      <c r="J59" s="8">
        <v>46174</v>
      </c>
      <c r="N59" t="str">
        <f>IF(ISNUMBER(MATCH(C59,fact_inventaire!$E:$E,0)),"OK","MANQUANT")</f>
        <v>OK</v>
      </c>
    </row>
    <row r="60" spans="1:14">
      <c r="A60" s="13">
        <f t="shared" si="0"/>
        <v>59</v>
      </c>
      <c r="B60" t="str">
        <f>IF(ISNUMBER(SEARCH(" ",E60)),
LEFT(UPPER(E60),2)&amp;MID(UPPER(E60),SEARCH(" ",E60)+1,1),
LEFT(UPPER(E60),3))
&amp;
TEXT(COUNTIF($E$2:E60,E60),"000")</f>
        <v>HYG003</v>
      </c>
      <c r="C60" t="s">
        <v>170</v>
      </c>
      <c r="D60">
        <f>IFERROR(INDEX(dim_categories!$A:$A,MATCH(E60,dim_categories!$C:$C,0)),"")</f>
        <v>19</v>
      </c>
      <c r="E60" t="s">
        <v>93</v>
      </c>
      <c r="F60" t="s">
        <v>105</v>
      </c>
      <c r="G60">
        <v>6</v>
      </c>
      <c r="H60" s="32">
        <f>G60/3</f>
        <v>2</v>
      </c>
      <c r="I60" t="s">
        <v>136</v>
      </c>
      <c r="J60" s="8">
        <v>46174</v>
      </c>
      <c r="N60" t="str">
        <f>IF(ISNUMBER(MATCH(C60,fact_inventaire!$E:$E,0)),"OK","MANQUANT")</f>
        <v>OK</v>
      </c>
    </row>
    <row r="61" spans="1:14">
      <c r="A61" s="13">
        <f t="shared" si="0"/>
        <v>60</v>
      </c>
      <c r="B61" t="str">
        <f>IF(ISNUMBER(SEARCH(" ",E61)),
LEFT(UPPER(E61),2)&amp;MID(UPPER(E61),SEARCH(" ",E61)+1,1),
LEFT(UPPER(E61),3))
&amp;
TEXT(COUNTIF($E$2:E61,E61),"000")</f>
        <v>HYG004</v>
      </c>
      <c r="C61" t="s">
        <v>154</v>
      </c>
      <c r="D61">
        <f>IFERROR(INDEX(dim_categories!$A:$A,MATCH(E61,dim_categories!$C:$C,0)),"")</f>
        <v>19</v>
      </c>
      <c r="E61" t="s">
        <v>93</v>
      </c>
      <c r="F61" t="s">
        <v>105</v>
      </c>
      <c r="G61">
        <v>6</v>
      </c>
      <c r="H61" s="32">
        <f>G61/3</f>
        <v>2</v>
      </c>
      <c r="I61" t="s">
        <v>136</v>
      </c>
      <c r="J61" s="8">
        <v>46174</v>
      </c>
      <c r="N61" t="str">
        <f>IF(ISNUMBER(MATCH(C61,fact_inventaire!$E:$E,0)),"OK","MANQUANT")</f>
        <v>OK</v>
      </c>
    </row>
    <row r="62" spans="1:14">
      <c r="A62" s="13">
        <f t="shared" si="0"/>
        <v>61</v>
      </c>
      <c r="B62" t="str">
        <f>IF(ISNUMBER(SEARCH(" ",E62)),
LEFT(UPPER(E62),2)&amp;MID(UPPER(E62),SEARCH(" ",E62)+1,1),
LEFT(UPPER(E62),3))
&amp;
TEXT(COUNTIF($E$2:E62,E62),"000")</f>
        <v>HYG005</v>
      </c>
      <c r="C62" t="s">
        <v>155</v>
      </c>
      <c r="D62">
        <f>IFERROR(INDEX(dim_categories!$A:$A,MATCH(E62,dim_categories!$C:$C,0)),"")</f>
        <v>19</v>
      </c>
      <c r="E62" t="s">
        <v>93</v>
      </c>
      <c r="F62" t="s">
        <v>105</v>
      </c>
      <c r="G62">
        <v>6</v>
      </c>
      <c r="H62" s="32">
        <f>G62/3</f>
        <v>2</v>
      </c>
      <c r="I62" t="s">
        <v>136</v>
      </c>
      <c r="J62" s="8">
        <v>46174</v>
      </c>
      <c r="N62" t="str">
        <f>IF(ISNUMBER(MATCH(C62,fact_inventaire!$E:$E,0)),"OK","MANQUANT")</f>
        <v>OK</v>
      </c>
    </row>
    <row r="63" spans="1:14">
      <c r="A63" s="13">
        <f t="shared" si="0"/>
        <v>62</v>
      </c>
      <c r="B63" t="str">
        <f>IF(ISNUMBER(SEARCH(" ",E63)),
LEFT(UPPER(E63),2)&amp;MID(UPPER(E63),SEARCH(" ",E63)+1,1),
LEFT(UPPER(E63),3))
&amp;
TEXT(COUNTIF($E$2:E63,E63),"000")</f>
        <v>HYG006</v>
      </c>
      <c r="C63" t="s">
        <v>157</v>
      </c>
      <c r="D63">
        <f>IFERROR(INDEX(dim_categories!$A:$A,MATCH(E63,dim_categories!$C:$C,0)),"")</f>
        <v>19</v>
      </c>
      <c r="E63" t="s">
        <v>93</v>
      </c>
      <c r="F63" t="s">
        <v>105</v>
      </c>
      <c r="G63">
        <v>12</v>
      </c>
      <c r="H63" s="32">
        <f>G63/4</f>
        <v>3</v>
      </c>
      <c r="I63" t="s">
        <v>136</v>
      </c>
      <c r="J63" s="8">
        <v>46174</v>
      </c>
      <c r="N63" t="str">
        <f>IF(ISNUMBER(MATCH(C63,fact_inventaire!$E:$E,0)),"OK","MANQUANT")</f>
        <v>OK</v>
      </c>
    </row>
    <row r="64" spans="1:14">
      <c r="A64" s="13">
        <f t="shared" si="0"/>
        <v>63</v>
      </c>
      <c r="B64" t="str">
        <f>IF(ISNUMBER(SEARCH(" ",E64)),
LEFT(UPPER(E64),2)&amp;MID(UPPER(E64),SEARCH(" ",E64)+1,1),
LEFT(UPPER(E64),3))
&amp;
TEXT(COUNTIF($E$2:E64,E64),"000")</f>
        <v>HYG007</v>
      </c>
      <c r="C64" t="s">
        <v>161</v>
      </c>
      <c r="D64">
        <f>IFERROR(INDEX(dim_categories!$A:$A,MATCH(E64,dim_categories!$C:$C,0)),"")</f>
        <v>19</v>
      </c>
      <c r="E64" t="s">
        <v>93</v>
      </c>
      <c r="F64" t="s">
        <v>105</v>
      </c>
      <c r="G64">
        <v>12</v>
      </c>
      <c r="H64" s="32">
        <f>G64/4</f>
        <v>3</v>
      </c>
      <c r="I64" t="s">
        <v>136</v>
      </c>
      <c r="J64" s="8">
        <v>46174</v>
      </c>
      <c r="N64" t="str">
        <f>IF(ISNUMBER(MATCH(C64,fact_inventaire!$E:$E,0)),"OK","MANQUANT")</f>
        <v>OK</v>
      </c>
    </row>
    <row r="65" spans="1:14">
      <c r="A65" s="13">
        <f t="shared" si="0"/>
        <v>64</v>
      </c>
      <c r="B65" t="str">
        <f>IF(ISNUMBER(SEARCH(" ",E65)),
LEFT(UPPER(E65),2)&amp;MID(UPPER(E65),SEARCH(" ",E65)+1,1),
LEFT(UPPER(E65),3))
&amp;
TEXT(COUNTIF($E$2:E65,E65),"000")</f>
        <v>HYG008</v>
      </c>
      <c r="C65" t="s">
        <v>167</v>
      </c>
      <c r="D65">
        <f>IFERROR(INDEX(dim_categories!$A:$A,MATCH(E65,dim_categories!$C:$C,0)),"")</f>
        <v>19</v>
      </c>
      <c r="E65" s="6" t="s">
        <v>93</v>
      </c>
      <c r="F65" t="s">
        <v>105</v>
      </c>
      <c r="G65">
        <v>48</v>
      </c>
      <c r="H65" s="32">
        <f>G65/5</f>
        <v>9.6</v>
      </c>
      <c r="I65" t="s">
        <v>136</v>
      </c>
      <c r="J65" s="8">
        <v>46174</v>
      </c>
      <c r="N65" t="str">
        <f>IF(ISNUMBER(MATCH(C65,fact_inventaire!$E:$E,0)),"OK","MANQUANT")</f>
        <v>OK</v>
      </c>
    </row>
    <row r="66" spans="1:14">
      <c r="A66" s="13">
        <f t="shared" ref="A66:A106" si="5">A65+1</f>
        <v>65</v>
      </c>
      <c r="B66" t="str">
        <f>IF(ISNUMBER(SEARCH(" ",E66)),
LEFT(UPPER(E66),2)&amp;MID(UPPER(E66),SEARCH(" ",E66)+1,1),
LEFT(UPPER(E66),3))
&amp;
TEXT(COUNTIF($E$2:E66,E66),"000")</f>
        <v>HYG009</v>
      </c>
      <c r="C66" t="s">
        <v>240</v>
      </c>
      <c r="D66">
        <f>IFERROR(INDEX(dim_categories!$A:$A,MATCH(E66,dim_categories!$C:$C,0)),"")</f>
        <v>19</v>
      </c>
      <c r="E66" s="6" t="s">
        <v>93</v>
      </c>
      <c r="F66" t="s">
        <v>107</v>
      </c>
      <c r="G66">
        <v>12</v>
      </c>
      <c r="H66" s="32">
        <v>0</v>
      </c>
      <c r="I66" t="s">
        <v>136</v>
      </c>
      <c r="J66" s="8">
        <v>46174</v>
      </c>
      <c r="N66" t="str">
        <f>IF(ISNUMBER(MATCH(C66,fact_inventaire!$E:$E,0)),"OK","MANQUANT")</f>
        <v>OK</v>
      </c>
    </row>
    <row r="67" spans="1:14">
      <c r="A67" s="13">
        <f t="shared" si="5"/>
        <v>66</v>
      </c>
      <c r="B67" t="str">
        <f>IF(ISNUMBER(SEARCH(" ",E67)),
LEFT(UPPER(E67),2)&amp;MID(UPPER(E67),SEARCH(" ",E67)+1,1),
LEFT(UPPER(E67),3))
&amp;
TEXT(COUNTIF($E$2:E67,E67),"000")</f>
        <v>HYF001</v>
      </c>
      <c r="C67" t="s">
        <v>262</v>
      </c>
      <c r="D67">
        <f>IFERROR(INDEX(dim_categories!$A:$A,MATCH(E67,dim_categories!$C:$C,0)),"")</f>
        <v>20</v>
      </c>
      <c r="E67" s="6" t="s">
        <v>263</v>
      </c>
      <c r="F67" t="s">
        <v>106</v>
      </c>
      <c r="G67">
        <v>12</v>
      </c>
      <c r="H67" s="32">
        <f>G67/4</f>
        <v>3</v>
      </c>
      <c r="I67" t="s">
        <v>136</v>
      </c>
      <c r="J67" s="8">
        <v>46174</v>
      </c>
      <c r="N67" t="str">
        <f>IF(ISNUMBER(MATCH(C67,fact_inventaire!$E:$E,0)),"OK","MANQUANT")</f>
        <v>OK</v>
      </c>
    </row>
    <row r="68" spans="1:14">
      <c r="A68" s="13">
        <f t="shared" si="5"/>
        <v>67</v>
      </c>
      <c r="B68" t="str">
        <f>IF(ISNUMBER(SEARCH(" ",E68)),
LEFT(UPPER(E68),2)&amp;MID(UPPER(E68),SEARCH(" ",E68)+1,1),
LEFT(UPPER(E68),3))
&amp;
TEXT(COUNTIF($E$2:E68,E68),"000")</f>
        <v>HYF002</v>
      </c>
      <c r="C68" t="s">
        <v>264</v>
      </c>
      <c r="D68">
        <f>IFERROR(INDEX(dim_categories!$A:$A,MATCH(E68,dim_categories!$C:$C,0)),"")</f>
        <v>20</v>
      </c>
      <c r="E68" s="6" t="s">
        <v>263</v>
      </c>
      <c r="F68" t="s">
        <v>106</v>
      </c>
      <c r="G68">
        <v>6</v>
      </c>
      <c r="H68" s="32">
        <f>G68/5</f>
        <v>1.2</v>
      </c>
      <c r="I68" t="s">
        <v>136</v>
      </c>
      <c r="J68" s="8">
        <v>46174</v>
      </c>
      <c r="N68" t="str">
        <f>IF(ISNUMBER(MATCH(C68,fact_inventaire!$E:$E,0)),"OK","MANQUANT")</f>
        <v>OK</v>
      </c>
    </row>
    <row r="69" spans="1:14">
      <c r="A69" s="13">
        <f t="shared" si="5"/>
        <v>68</v>
      </c>
      <c r="B69" t="str">
        <f>IF(ISNUMBER(SEARCH(" ",E69)),
LEFT(UPPER(E69),2)&amp;MID(UPPER(E69),SEARCH(" ",E69)+1,1),
LEFT(UPPER(E69),3))
&amp;
TEXT(COUNTIF($E$2:E69,E69),"000")</f>
        <v>HYF003</v>
      </c>
      <c r="C69" t="s">
        <v>178</v>
      </c>
      <c r="D69">
        <f>IFERROR(INDEX(dim_categories!$A:$A,MATCH(E69,dim_categories!$C:$C,0)),"")</f>
        <v>20</v>
      </c>
      <c r="E69" s="6" t="s">
        <v>263</v>
      </c>
      <c r="F69" t="s">
        <v>106</v>
      </c>
      <c r="G69">
        <v>6</v>
      </c>
      <c r="H69" s="32">
        <f>G69/5</f>
        <v>1.2</v>
      </c>
      <c r="I69" t="s">
        <v>136</v>
      </c>
      <c r="J69" s="8">
        <v>46174</v>
      </c>
      <c r="N69" t="str">
        <f>IF(ISNUMBER(MATCH(C69,fact_inventaire!$E:$E,0)),"OK","MANQUANT")</f>
        <v>OK</v>
      </c>
    </row>
    <row r="70" spans="1:14">
      <c r="A70" s="13">
        <f t="shared" si="5"/>
        <v>69</v>
      </c>
      <c r="B70" t="str">
        <f>IF(ISNUMBER(SEARCH(" ",E70)),
LEFT(UPPER(E70),2)&amp;MID(UPPER(E70),SEARCH(" ",E70)+1,1),
LEFT(UPPER(E70),3))
&amp;
TEXT(COUNTIF($E$2:E70,E70),"000")</f>
        <v>INS001</v>
      </c>
      <c r="C70" t="s">
        <v>181</v>
      </c>
      <c r="D70">
        <f>IFERROR(INDEX(dim_categories!$A:$A,MATCH(E70,dim_categories!$C:$C,0)),"")</f>
        <v>21</v>
      </c>
      <c r="E70" t="s">
        <v>270</v>
      </c>
      <c r="F70" t="s">
        <v>106</v>
      </c>
      <c r="G70">
        <v>60</v>
      </c>
      <c r="H70" s="32">
        <f>G70/10</f>
        <v>6</v>
      </c>
      <c r="I70" t="s">
        <v>136</v>
      </c>
      <c r="J70" s="8">
        <v>46174</v>
      </c>
      <c r="N70" t="str">
        <f>IF(ISNUMBER(MATCH(C70,fact_inventaire!$E:$E,0)),"OK","MANQUANT")</f>
        <v>OK</v>
      </c>
    </row>
    <row r="71" spans="1:14">
      <c r="A71" s="13">
        <f t="shared" si="5"/>
        <v>70</v>
      </c>
      <c r="B71" t="str">
        <f>IF(ISNUMBER(SEARCH(" ",E71)),
LEFT(UPPER(E71),2)&amp;MID(UPPER(E71),SEARCH(" ",E71)+1,1),
LEFT(UPPER(E71),3))
&amp;
TEXT(COUNTIF($E$2:E71,E71),"000")</f>
        <v>JUS001</v>
      </c>
      <c r="C71" t="s">
        <v>180</v>
      </c>
      <c r="D71">
        <f>IFERROR(INDEX(dim_categories!$A:$A,MATCH(E71,dim_categories!$C:$C,0)),"")</f>
        <v>22</v>
      </c>
      <c r="E71" t="s">
        <v>50</v>
      </c>
      <c r="F71" t="s">
        <v>54</v>
      </c>
      <c r="G71">
        <v>24</v>
      </c>
      <c r="H71" s="32">
        <f>G71/4</f>
        <v>6</v>
      </c>
      <c r="I71" t="s">
        <v>136</v>
      </c>
      <c r="J71" s="8">
        <v>46174</v>
      </c>
      <c r="N71" t="str">
        <f>IF(ISNUMBER(MATCH(C71,fact_inventaire!$E:$E,0)),"OK","MANQUANT")</f>
        <v>OK</v>
      </c>
    </row>
    <row r="72" spans="1:14">
      <c r="A72" s="13">
        <f t="shared" si="5"/>
        <v>71</v>
      </c>
      <c r="B72" t="str">
        <f>IF(ISNUMBER(SEARCH(" ",E72)),
LEFT(UPPER(E72),2)&amp;MID(UPPER(E72),SEARCH(" ",E72)+1,1),
LEFT(UPPER(E72),3))
&amp;
TEXT(COUNTIF($E$2:E72,E72),"000")</f>
        <v>JUS002</v>
      </c>
      <c r="C72" t="s">
        <v>194</v>
      </c>
      <c r="D72">
        <f>IFERROR(INDEX(dim_categories!$A:$A,MATCH(E72,dim_categories!$C:$C,0)),"")</f>
        <v>22</v>
      </c>
      <c r="E72" t="s">
        <v>50</v>
      </c>
      <c r="F72" t="s">
        <v>54</v>
      </c>
      <c r="G72">
        <v>6</v>
      </c>
      <c r="H72" s="32">
        <v>6</v>
      </c>
      <c r="I72" t="s">
        <v>136</v>
      </c>
      <c r="J72" s="8">
        <v>46174</v>
      </c>
      <c r="N72" t="str">
        <f>IF(ISNUMBER(MATCH(C72,fact_inventaire!$E:$E,0)),"OK","MANQUANT")</f>
        <v>OK</v>
      </c>
    </row>
    <row r="73" spans="1:14">
      <c r="A73" s="13">
        <f t="shared" si="5"/>
        <v>72</v>
      </c>
      <c r="B73" t="str">
        <f>IF(ISNUMBER(SEARCH(" ",E73)),
LEFT(UPPER(E73),2)&amp;MID(UPPER(E73),SEARCH(" ",E73)+1,1),
LEFT(UPPER(E73),3))
&amp;
TEXT(COUNTIF($E$2:E73,E73),"000")</f>
        <v>JUS003</v>
      </c>
      <c r="C73" t="s">
        <v>195</v>
      </c>
      <c r="D73">
        <f>IFERROR(INDEX(dim_categories!$A:$A,MATCH(E73,dim_categories!$C:$C,0)),"")</f>
        <v>22</v>
      </c>
      <c r="E73" t="s">
        <v>50</v>
      </c>
      <c r="F73" t="s">
        <v>54</v>
      </c>
      <c r="G73">
        <v>6</v>
      </c>
      <c r="H73" s="32">
        <v>6</v>
      </c>
      <c r="I73" t="s">
        <v>136</v>
      </c>
      <c r="J73" s="8">
        <v>46174</v>
      </c>
      <c r="N73" t="str">
        <f>IF(ISNUMBER(MATCH(C73,fact_inventaire!$E:$E,0)),"OK","MANQUANT")</f>
        <v>OK</v>
      </c>
    </row>
    <row r="74" spans="1:14">
      <c r="A74" s="13">
        <f t="shared" si="5"/>
        <v>73</v>
      </c>
      <c r="B74" t="str">
        <f>IF(ISNUMBER(SEARCH(" ",E74)),
LEFT(UPPER(E74),2)&amp;MID(UPPER(E74),SEARCH(" ",E74)+1,1),
LEFT(UPPER(E74),3))
&amp;
TEXT(COUNTIF($E$2:E74,E74),"000")</f>
        <v>JUS004</v>
      </c>
      <c r="C74" t="s">
        <v>196</v>
      </c>
      <c r="D74">
        <f>IFERROR(INDEX(dim_categories!$A:$A,MATCH(E74,dim_categories!$C:$C,0)),"")</f>
        <v>22</v>
      </c>
      <c r="E74" t="s">
        <v>50</v>
      </c>
      <c r="F74" t="s">
        <v>54</v>
      </c>
      <c r="G74">
        <v>6</v>
      </c>
      <c r="H74" s="32">
        <v>6</v>
      </c>
      <c r="I74" t="s">
        <v>136</v>
      </c>
      <c r="J74" s="8">
        <v>46174</v>
      </c>
      <c r="N74" t="str">
        <f>IF(ISNUMBER(MATCH(C74,fact_inventaire!$E:$E,0)),"OK","MANQUANT")</f>
        <v>OK</v>
      </c>
    </row>
    <row r="75" spans="1:14">
      <c r="A75" s="13">
        <f t="shared" si="5"/>
        <v>74</v>
      </c>
      <c r="B75" t="str">
        <f>IF(ISNUMBER(SEARCH(" ",E75)),
LEFT(UPPER(E75),2)&amp;MID(UPPER(E75),SEARCH(" ",E75)+1,1),
LEFT(UPPER(E75),3))
&amp;
TEXT(COUNTIF($E$2:E75,E75),"000")</f>
        <v>JUS005</v>
      </c>
      <c r="C75" t="s">
        <v>198</v>
      </c>
      <c r="D75">
        <f>IFERROR(INDEX(dim_categories!$A:$A,MATCH(E75,dim_categories!$C:$C,0)),"")</f>
        <v>22</v>
      </c>
      <c r="E75" t="s">
        <v>50</v>
      </c>
      <c r="F75" t="s">
        <v>54</v>
      </c>
      <c r="G75">
        <v>6</v>
      </c>
      <c r="H75" s="32">
        <v>6</v>
      </c>
      <c r="I75" t="s">
        <v>136</v>
      </c>
      <c r="J75" s="8">
        <v>46174</v>
      </c>
      <c r="N75" t="str">
        <f>IF(ISNUMBER(MATCH(C75,fact_inventaire!$E:$E,0)),"OK","MANQUANT")</f>
        <v>OK</v>
      </c>
    </row>
    <row r="76" spans="1:14">
      <c r="A76" s="13">
        <f t="shared" si="5"/>
        <v>75</v>
      </c>
      <c r="B76" t="str">
        <f>IF(ISNUMBER(SEARCH(" ",E76)),
LEFT(UPPER(E76),2)&amp;MID(UPPER(E76),SEARCH(" ",E76)+1,1),
LEFT(UPPER(E76),3))
&amp;
TEXT(COUNTIF($E$2:E76,E76),"000")</f>
        <v>JUS006</v>
      </c>
      <c r="C76" t="s">
        <v>199</v>
      </c>
      <c r="D76">
        <f>IFERROR(INDEX(dim_categories!$A:$A,MATCH(E76,dim_categories!$C:$C,0)),"")</f>
        <v>22</v>
      </c>
      <c r="E76" t="s">
        <v>50</v>
      </c>
      <c r="F76" t="s">
        <v>54</v>
      </c>
      <c r="G76">
        <v>6</v>
      </c>
      <c r="H76" s="32">
        <v>6</v>
      </c>
      <c r="I76" t="s">
        <v>136</v>
      </c>
      <c r="J76" s="8">
        <v>46174</v>
      </c>
      <c r="N76" t="str">
        <f>IF(ISNUMBER(MATCH(C76,fact_inventaire!$E:$E,0)),"OK","MANQUANT")</f>
        <v>OK</v>
      </c>
    </row>
    <row r="77" spans="1:14">
      <c r="A77" s="13">
        <f t="shared" si="5"/>
        <v>76</v>
      </c>
      <c r="B77" t="str">
        <f>IF(ISNUMBER(SEARCH(" ",E77)),
LEFT(UPPER(E77),2)&amp;MID(UPPER(E77),SEARCH(" ",E77)+1,1),
LEFT(UPPER(E77),3))
&amp;
TEXT(COUNTIF($E$2:E77,E77),"000")</f>
        <v>JUS007</v>
      </c>
      <c r="C77" t="s">
        <v>201</v>
      </c>
      <c r="D77">
        <f>IFERROR(INDEX(dim_categories!$A:$A,MATCH(E77,dim_categories!$C:$C,0)),"")</f>
        <v>22</v>
      </c>
      <c r="E77" t="s">
        <v>50</v>
      </c>
      <c r="F77" t="s">
        <v>54</v>
      </c>
      <c r="G77">
        <v>6</v>
      </c>
      <c r="H77" s="32">
        <v>6</v>
      </c>
      <c r="I77" t="s">
        <v>136</v>
      </c>
      <c r="J77" s="8">
        <v>46174</v>
      </c>
      <c r="N77" t="str">
        <f>IF(ISNUMBER(MATCH(C77,fact_inventaire!$E:$E,0)),"OK","MANQUANT")</f>
        <v>OK</v>
      </c>
    </row>
    <row r="78" spans="1:14">
      <c r="A78" s="13">
        <f t="shared" si="5"/>
        <v>77</v>
      </c>
      <c r="B78" t="str">
        <f>IF(ISNUMBER(SEARCH(" ",E78)),
LEFT(UPPER(E78),2)&amp;MID(UPPER(E78),SEARCH(" ",E78)+1,1),
LEFT(UPPER(E78),3))
&amp;
TEXT(COUNTIF($E$2:E78,E78),"000")</f>
        <v>JUS008</v>
      </c>
      <c r="C78" t="s">
        <v>202</v>
      </c>
      <c r="D78">
        <f>IFERROR(INDEX(dim_categories!$A:$A,MATCH(E78,dim_categories!$C:$C,0)),"")</f>
        <v>22</v>
      </c>
      <c r="E78" t="s">
        <v>50</v>
      </c>
      <c r="F78" t="s">
        <v>54</v>
      </c>
      <c r="G78">
        <v>6</v>
      </c>
      <c r="H78" s="32">
        <v>6</v>
      </c>
      <c r="I78" t="s">
        <v>136</v>
      </c>
      <c r="J78" s="8">
        <v>46174</v>
      </c>
      <c r="N78" t="str">
        <f>IF(ISNUMBER(MATCH(C78,fact_inventaire!$E:$E,0)),"OK","MANQUANT")</f>
        <v>OK</v>
      </c>
    </row>
    <row r="79" spans="1:14">
      <c r="A79" s="13">
        <f t="shared" si="5"/>
        <v>78</v>
      </c>
      <c r="B79" t="str">
        <f>IF(ISNUMBER(SEARCH(" ",E79)),
LEFT(UPPER(E79),2)&amp;MID(UPPER(E79),SEARCH(" ",E79)+1,1),
LEFT(UPPER(E79),3))
&amp;
TEXT(COUNTIF($E$2:E79,E79),"000")</f>
        <v>JUS009</v>
      </c>
      <c r="C79" t="s">
        <v>203</v>
      </c>
      <c r="D79">
        <f>IFERROR(INDEX(dim_categories!$A:$A,MATCH(E79,dim_categories!$C:$C,0)),"")</f>
        <v>22</v>
      </c>
      <c r="E79" t="s">
        <v>50</v>
      </c>
      <c r="F79" t="s">
        <v>54</v>
      </c>
      <c r="G79">
        <v>12</v>
      </c>
      <c r="H79" s="32">
        <f t="shared" ref="H79:H88" si="6">G79/1</f>
        <v>12</v>
      </c>
      <c r="I79" t="s">
        <v>136</v>
      </c>
      <c r="J79" s="8">
        <v>46174</v>
      </c>
      <c r="N79" t="str">
        <f>IF(ISNUMBER(MATCH(C79,fact_inventaire!$E:$E,0)),"OK","MANQUANT")</f>
        <v>OK</v>
      </c>
    </row>
    <row r="80" spans="1:14">
      <c r="A80" s="13">
        <f t="shared" si="5"/>
        <v>79</v>
      </c>
      <c r="B80" t="str">
        <f>IF(ISNUMBER(SEARCH(" ",E80)),
LEFT(UPPER(E80),2)&amp;MID(UPPER(E80),SEARCH(" ",E80)+1,1),
LEFT(UPPER(E80),3))
&amp;
TEXT(COUNTIF($E$2:E80,E80),"000")</f>
        <v>JUS010</v>
      </c>
      <c r="C80" t="s">
        <v>204</v>
      </c>
      <c r="D80">
        <f>IFERROR(INDEX(dim_categories!$A:$A,MATCH(E80,dim_categories!$C:$C,0)),"")</f>
        <v>22</v>
      </c>
      <c r="E80" t="s">
        <v>50</v>
      </c>
      <c r="F80" t="s">
        <v>54</v>
      </c>
      <c r="G80">
        <v>6</v>
      </c>
      <c r="H80" s="32">
        <f t="shared" si="6"/>
        <v>6</v>
      </c>
      <c r="I80" t="s">
        <v>136</v>
      </c>
      <c r="J80" s="8">
        <v>46174</v>
      </c>
      <c r="N80" t="str">
        <f>IF(ISNUMBER(MATCH(C80,fact_inventaire!$E:$E,0)),"OK","MANQUANT")</f>
        <v>OK</v>
      </c>
    </row>
    <row r="81" spans="1:14">
      <c r="A81" s="13">
        <f t="shared" si="5"/>
        <v>80</v>
      </c>
      <c r="B81" t="str">
        <f>IF(ISNUMBER(SEARCH(" ",E81)),
LEFT(UPPER(E81),2)&amp;MID(UPPER(E81),SEARCH(" ",E81)+1,1),
LEFT(UPPER(E81),3))
&amp;
TEXT(COUNTIF($E$2:E81,E81),"000")</f>
        <v>JUS011</v>
      </c>
      <c r="C81" t="s">
        <v>205</v>
      </c>
      <c r="D81">
        <f>IFERROR(INDEX(dim_categories!$A:$A,MATCH(E81,dim_categories!$C:$C,0)),"")</f>
        <v>22</v>
      </c>
      <c r="E81" t="s">
        <v>50</v>
      </c>
      <c r="F81" t="s">
        <v>54</v>
      </c>
      <c r="G81">
        <v>12</v>
      </c>
      <c r="H81" s="32">
        <f t="shared" si="6"/>
        <v>12</v>
      </c>
      <c r="I81" t="s">
        <v>136</v>
      </c>
      <c r="J81" s="8">
        <v>46174</v>
      </c>
      <c r="N81" t="str">
        <f>IF(ISNUMBER(MATCH(C81,fact_inventaire!$E:$E,0)),"OK","MANQUANT")</f>
        <v>OK</v>
      </c>
    </row>
    <row r="82" spans="1:14">
      <c r="A82" s="13">
        <f t="shared" si="5"/>
        <v>81</v>
      </c>
      <c r="B82" t="str">
        <f>IF(ISNUMBER(SEARCH(" ",E82)),
LEFT(UPPER(E82),2)&amp;MID(UPPER(E82),SEARCH(" ",E82)+1,1),
LEFT(UPPER(E82),3))
&amp;
TEXT(COUNTIF($E$2:E82,E82),"000")</f>
        <v>JUS012</v>
      </c>
      <c r="C82" t="s">
        <v>206</v>
      </c>
      <c r="D82">
        <f>IFERROR(INDEX(dim_categories!$A:$A,MATCH(E82,dim_categories!$C:$C,0)),"")</f>
        <v>22</v>
      </c>
      <c r="E82" t="s">
        <v>50</v>
      </c>
      <c r="F82" t="s">
        <v>54</v>
      </c>
      <c r="G82">
        <v>12</v>
      </c>
      <c r="H82" s="32">
        <f t="shared" si="6"/>
        <v>12</v>
      </c>
      <c r="I82" t="s">
        <v>136</v>
      </c>
      <c r="J82" s="8">
        <v>46174</v>
      </c>
      <c r="N82" t="str">
        <f>IF(ISNUMBER(MATCH(C82,fact_inventaire!$E:$E,0)),"OK","MANQUANT")</f>
        <v>OK</v>
      </c>
    </row>
    <row r="83" spans="1:14">
      <c r="A83" s="13">
        <f t="shared" si="5"/>
        <v>82</v>
      </c>
      <c r="B83" t="str">
        <f>IF(ISNUMBER(SEARCH(" ",E83)),
LEFT(UPPER(E83),2)&amp;MID(UPPER(E83),SEARCH(" ",E83)+1,1),
LEFT(UPPER(E83),3))
&amp;
TEXT(COUNTIF($E$2:E83,E83),"000")</f>
        <v>JUS013</v>
      </c>
      <c r="C83" t="s">
        <v>207</v>
      </c>
      <c r="D83">
        <f>IFERROR(INDEX(dim_categories!$A:$A,MATCH(E83,dim_categories!$C:$C,0)),"")</f>
        <v>22</v>
      </c>
      <c r="E83" t="s">
        <v>50</v>
      </c>
      <c r="F83" t="s">
        <v>54</v>
      </c>
      <c r="G83">
        <v>6</v>
      </c>
      <c r="H83" s="32">
        <f t="shared" si="6"/>
        <v>6</v>
      </c>
      <c r="I83" t="s">
        <v>136</v>
      </c>
      <c r="J83" s="8">
        <v>46174</v>
      </c>
      <c r="N83" t="str">
        <f>IF(ISNUMBER(MATCH(C83,fact_inventaire!$E:$E,0)),"OK","MANQUANT")</f>
        <v>OK</v>
      </c>
    </row>
    <row r="84" spans="1:14">
      <c r="A84" s="13">
        <f t="shared" si="5"/>
        <v>83</v>
      </c>
      <c r="B84" t="str">
        <f>IF(ISNUMBER(SEARCH(" ",E84)),
LEFT(UPPER(E84),2)&amp;MID(UPPER(E84),SEARCH(" ",E84)+1,1),
LEFT(UPPER(E84),3))
&amp;
TEXT(COUNTIF($E$2:E84,E84),"000")</f>
        <v>JUS014</v>
      </c>
      <c r="C84" t="s">
        <v>208</v>
      </c>
      <c r="D84">
        <f>IFERROR(INDEX(dim_categories!$A:$A,MATCH(E84,dim_categories!$C:$C,0)),"")</f>
        <v>22</v>
      </c>
      <c r="E84" t="s">
        <v>50</v>
      </c>
      <c r="F84" t="s">
        <v>54</v>
      </c>
      <c r="G84">
        <v>6</v>
      </c>
      <c r="H84" s="32">
        <f t="shared" si="6"/>
        <v>6</v>
      </c>
      <c r="I84" t="s">
        <v>136</v>
      </c>
      <c r="J84" s="8">
        <v>46174</v>
      </c>
      <c r="N84" t="str">
        <f>IF(ISNUMBER(MATCH(C84,fact_inventaire!$E:$E,0)),"OK","MANQUANT")</f>
        <v>OK</v>
      </c>
    </row>
    <row r="85" spans="1:14">
      <c r="A85" s="13">
        <f t="shared" si="5"/>
        <v>84</v>
      </c>
      <c r="B85" t="str">
        <f>IF(ISNUMBER(SEARCH(" ",E85)),
LEFT(UPPER(E85),2)&amp;MID(UPPER(E85),SEARCH(" ",E85)+1,1),
LEFT(UPPER(E85),3))
&amp;
TEXT(COUNTIF($E$2:E85,E85),"000")</f>
        <v>JUS015</v>
      </c>
      <c r="C85" t="s">
        <v>209</v>
      </c>
      <c r="D85">
        <f>IFERROR(INDEX(dim_categories!$A:$A,MATCH(E85,dim_categories!$C:$C,0)),"")</f>
        <v>22</v>
      </c>
      <c r="E85" t="s">
        <v>50</v>
      </c>
      <c r="F85" t="s">
        <v>54</v>
      </c>
      <c r="G85">
        <v>6</v>
      </c>
      <c r="H85" s="32">
        <f t="shared" si="6"/>
        <v>6</v>
      </c>
      <c r="I85" t="s">
        <v>136</v>
      </c>
      <c r="J85" s="8">
        <v>46174</v>
      </c>
      <c r="N85" t="str">
        <f>IF(ISNUMBER(MATCH(C85,fact_inventaire!$E:$E,0)),"OK","MANQUANT")</f>
        <v>OK</v>
      </c>
    </row>
    <row r="86" spans="1:14">
      <c r="A86" s="13">
        <f t="shared" si="5"/>
        <v>85</v>
      </c>
      <c r="B86" t="str">
        <f>IF(ISNUMBER(SEARCH(" ",E86)),
LEFT(UPPER(E86),2)&amp;MID(UPPER(E86),SEARCH(" ",E86)+1,1),
LEFT(UPPER(E86),3))
&amp;
TEXT(COUNTIF($E$2:E86,E86),"000")</f>
        <v>JUS016</v>
      </c>
      <c r="C86" t="s">
        <v>210</v>
      </c>
      <c r="D86">
        <f>IFERROR(INDEX(dim_categories!$A:$A,MATCH(E86,dim_categories!$C:$C,0)),"")</f>
        <v>22</v>
      </c>
      <c r="E86" t="s">
        <v>50</v>
      </c>
      <c r="F86" t="s">
        <v>54</v>
      </c>
      <c r="G86">
        <v>6</v>
      </c>
      <c r="H86" s="32">
        <f t="shared" si="6"/>
        <v>6</v>
      </c>
      <c r="I86" t="s">
        <v>136</v>
      </c>
      <c r="J86" s="8">
        <v>46174</v>
      </c>
      <c r="N86" t="str">
        <f>IF(ISNUMBER(MATCH(C86,fact_inventaire!$E:$E,0)),"OK","MANQUANT")</f>
        <v>OK</v>
      </c>
    </row>
    <row r="87" spans="1:14">
      <c r="A87" s="13">
        <f t="shared" si="5"/>
        <v>86</v>
      </c>
      <c r="B87" t="str">
        <f>IF(ISNUMBER(SEARCH(" ",E87)),
LEFT(UPPER(E87),2)&amp;MID(UPPER(E87),SEARCH(" ",E87)+1,1),
LEFT(UPPER(E87),3))
&amp;
TEXT(COUNTIF($E$2:E87,E87),"000")</f>
        <v>JUS017</v>
      </c>
      <c r="C87" t="s">
        <v>407</v>
      </c>
      <c r="D87">
        <f>IFERROR(INDEX(dim_categories!$A:$A,MATCH(E87,dim_categories!$C:$C,0)),"")</f>
        <v>22</v>
      </c>
      <c r="E87" t="s">
        <v>50</v>
      </c>
      <c r="F87" t="s">
        <v>54</v>
      </c>
      <c r="G87">
        <v>6</v>
      </c>
      <c r="H87" s="32">
        <f t="shared" si="6"/>
        <v>6</v>
      </c>
      <c r="I87" t="s">
        <v>136</v>
      </c>
      <c r="J87" s="8">
        <v>46174</v>
      </c>
      <c r="N87" t="str">
        <f>IF(ISNUMBER(MATCH(C87,fact_inventaire!$E:$E,0)),"OK","MANQUANT")</f>
        <v>OK</v>
      </c>
    </row>
    <row r="88" spans="1:14">
      <c r="A88" s="13">
        <f t="shared" si="5"/>
        <v>87</v>
      </c>
      <c r="B88" t="str">
        <f>IF(ISNUMBER(SEARCH(" ",E88)),
LEFT(UPPER(E88),2)&amp;MID(UPPER(E88),SEARCH(" ",E88)+1,1),
LEFT(UPPER(E88),3))
&amp;
TEXT(COUNTIF($E$2:E88,E88),"000")</f>
        <v>JUS018</v>
      </c>
      <c r="C88" t="s">
        <v>374</v>
      </c>
      <c r="D88">
        <f>IFERROR(INDEX(dim_categories!$A:$A,MATCH(E88,dim_categories!$C:$C,0)),"")</f>
        <v>22</v>
      </c>
      <c r="E88" t="s">
        <v>50</v>
      </c>
      <c r="F88" t="s">
        <v>54</v>
      </c>
      <c r="G88">
        <v>12</v>
      </c>
      <c r="H88" s="32">
        <f t="shared" si="6"/>
        <v>12</v>
      </c>
      <c r="I88" t="s">
        <v>136</v>
      </c>
      <c r="J88" s="8">
        <v>46174</v>
      </c>
      <c r="N88" t="str">
        <f>IF(ISNUMBER(MATCH(C88,fact_inventaire!$E:$E,0)),"OK","MANQUANT")</f>
        <v>OK</v>
      </c>
    </row>
    <row r="89" spans="1:14">
      <c r="A89" s="13">
        <f t="shared" si="5"/>
        <v>88</v>
      </c>
      <c r="B89" t="str">
        <f>IF(ISNUMBER(SEARCH(" ",E89)),
LEFT(UPPER(E89),2)&amp;MID(UPPER(E89),SEARCH(" ",E89)+1,1),
LEFT(UPPER(E89),3))
&amp;
TEXT(COUNTIF($E$2:E89,E89),"000")</f>
        <v>MOU001</v>
      </c>
      <c r="C89" t="s">
        <v>253</v>
      </c>
      <c r="D89">
        <f>IFERROR(INDEX(dim_categories!$A:$A,MATCH(E89,dim_categories!$C:$C,0)),"")</f>
        <v>23</v>
      </c>
      <c r="E89" t="s">
        <v>182</v>
      </c>
      <c r="F89" t="s">
        <v>105</v>
      </c>
      <c r="G89">
        <v>250</v>
      </c>
      <c r="H89" s="32">
        <f>G89/25</f>
        <v>10</v>
      </c>
      <c r="I89" t="s">
        <v>136</v>
      </c>
      <c r="J89" s="8">
        <v>46174</v>
      </c>
      <c r="N89" t="str">
        <f>IF(ISNUMBER(MATCH(C89,fact_inventaire!$E:$E,0)),"OK","MANQUANT")</f>
        <v>OK</v>
      </c>
    </row>
    <row r="90" spans="1:14">
      <c r="A90" s="13">
        <f t="shared" si="5"/>
        <v>89</v>
      </c>
      <c r="B90" t="str">
        <f>IF(ISNUMBER(SEARCH(" ",E90)),
LEFT(UPPER(E90),2)&amp;MID(UPPER(E90),SEARCH(" ",E90)+1,1),
LEFT(UPPER(E90),3))
&amp;
TEXT(COUNTIF($E$2:E90,E90),"000")</f>
        <v>MUB001</v>
      </c>
      <c r="C90" t="s">
        <v>366</v>
      </c>
      <c r="D90">
        <f>IFERROR(INDEX(dim_categories!$A:$A,MATCH(E90,dim_categories!$C:$C,0)),"")</f>
        <v>24</v>
      </c>
      <c r="E90" t="s">
        <v>279</v>
      </c>
      <c r="F90" t="s">
        <v>54</v>
      </c>
      <c r="G90">
        <v>12</v>
      </c>
      <c r="H90" s="32">
        <v>6</v>
      </c>
      <c r="I90" t="s">
        <v>136</v>
      </c>
      <c r="J90" s="8">
        <v>46174</v>
      </c>
      <c r="N90" t="str">
        <f>IF(ISNUMBER(MATCH(C90,fact_inventaire!$E:$E,0)),"OK","MANQUANT")</f>
        <v>OK</v>
      </c>
    </row>
    <row r="91" spans="1:14">
      <c r="A91" s="13">
        <f t="shared" si="5"/>
        <v>90</v>
      </c>
      <c r="B91" t="str">
        <f>IF(ISNUMBER(SEARCH(" ",E91)),
LEFT(UPPER(E91),2)&amp;MID(UPPER(E91),SEARCH(" ",E91)+1,1),
LEFT(UPPER(E91),3))
&amp;
TEXT(COUNTIF($E$2:E91,E91),"000")</f>
        <v>MUB002</v>
      </c>
      <c r="C91" t="s">
        <v>367</v>
      </c>
      <c r="D91">
        <f>IFERROR(INDEX(dim_categories!$A:$A,MATCH(E91,dim_categories!$C:$C,0)),"")</f>
        <v>24</v>
      </c>
      <c r="E91" t="s">
        <v>279</v>
      </c>
      <c r="F91" t="s">
        <v>54</v>
      </c>
      <c r="G91">
        <v>12</v>
      </c>
      <c r="H91" s="32">
        <v>6</v>
      </c>
      <c r="I91" t="s">
        <v>136</v>
      </c>
      <c r="J91" s="8">
        <v>46174</v>
      </c>
      <c r="N91" t="str">
        <f>IF(ISNUMBER(MATCH(C91,fact_inventaire!$E:$E,0)),"OK","MANQUANT")</f>
        <v>OK</v>
      </c>
    </row>
    <row r="92" spans="1:14">
      <c r="A92" s="13">
        <f t="shared" si="5"/>
        <v>91</v>
      </c>
      <c r="B92" t="str">
        <f>IF(ISNUMBER(SEARCH(" ",E92)),
LEFT(UPPER(E92),2)&amp;MID(UPPER(E92),SEARCH(" ",E92)+1,1),
LEFT(UPPER(E92),3))
&amp;
TEXT(COUNTIF($E$2:E92,E92),"000")</f>
        <v>MUB003</v>
      </c>
      <c r="C92" t="s">
        <v>371</v>
      </c>
      <c r="D92">
        <f>IFERROR(INDEX(dim_categories!$A:$A,MATCH(E92,dim_categories!$C:$C,0)),"")</f>
        <v>24</v>
      </c>
      <c r="E92" t="s">
        <v>279</v>
      </c>
      <c r="F92" t="s">
        <v>54</v>
      </c>
      <c r="G92">
        <v>12</v>
      </c>
      <c r="H92" s="32">
        <v>6</v>
      </c>
      <c r="I92" t="s">
        <v>136</v>
      </c>
      <c r="J92" s="8">
        <v>46174</v>
      </c>
      <c r="N92" t="str">
        <f>IF(ISNUMBER(MATCH(C92,fact_inventaire!$E:$E,0)),"OK","MANQUANT")</f>
        <v>OK</v>
      </c>
    </row>
    <row r="93" spans="1:14">
      <c r="A93" s="13">
        <f t="shared" si="5"/>
        <v>92</v>
      </c>
      <c r="B93" t="str">
        <f>IF(ISNUMBER(SEARCH(" ",E93)),
LEFT(UPPER(E93),2)&amp;MID(UPPER(E93),SEARCH(" ",E93)+1,1),
LEFT(UPPER(E93),3))
&amp;
TEXT(COUNTIF($E$2:E93,E93),"000")</f>
        <v>MUB004</v>
      </c>
      <c r="C93" t="s">
        <v>375</v>
      </c>
      <c r="D93">
        <f>IFERROR(INDEX(dim_categories!$A:$A,MATCH(E93,dim_categories!$C:$C,0)),"")</f>
        <v>24</v>
      </c>
      <c r="E93" t="s">
        <v>279</v>
      </c>
      <c r="F93" t="s">
        <v>54</v>
      </c>
      <c r="G93">
        <v>12</v>
      </c>
      <c r="H93" s="32">
        <v>6</v>
      </c>
      <c r="I93" t="s">
        <v>136</v>
      </c>
      <c r="J93" s="8">
        <v>46174</v>
      </c>
      <c r="N93" t="str">
        <f>IF(ISNUMBER(MATCH(C93,fact_inventaire!$E:$E,0)),"OK","MANQUANT")</f>
        <v>OK</v>
      </c>
    </row>
    <row r="94" spans="1:14">
      <c r="A94" s="13">
        <f t="shared" si="5"/>
        <v>93</v>
      </c>
      <c r="B94" t="str">
        <f>IF(ISNUMBER(SEARCH(" ",E94)),
LEFT(UPPER(E94),2)&amp;MID(UPPER(E94),SEARCH(" ",E94)+1,1),
LEFT(UPPER(E94),3))
&amp;
TEXT(COUNTIF($E$2:E94,E94),"000")</f>
        <v>MUB005</v>
      </c>
      <c r="C94" t="s">
        <v>372</v>
      </c>
      <c r="D94">
        <f>IFERROR(INDEX(dim_categories!$A:$A,MATCH(E94,dim_categories!$C:$C,0)),"")</f>
        <v>24</v>
      </c>
      <c r="E94" t="s">
        <v>279</v>
      </c>
      <c r="F94" t="s">
        <v>54</v>
      </c>
      <c r="G94">
        <v>12</v>
      </c>
      <c r="H94" s="32">
        <v>6</v>
      </c>
      <c r="I94" t="s">
        <v>136</v>
      </c>
      <c r="J94" s="8">
        <v>46174</v>
      </c>
      <c r="N94" t="str">
        <f>IF(ISNUMBER(MATCH(C94,fact_inventaire!$E:$E,0)),"OK","MANQUANT")</f>
        <v>OK</v>
      </c>
    </row>
    <row r="95" spans="1:14">
      <c r="A95" s="13">
        <f t="shared" si="5"/>
        <v>94</v>
      </c>
      <c r="B95" t="str">
        <f>IF(ISNUMBER(SEARCH(" ",E95)),
LEFT(UPPER(E95),2)&amp;MID(UPPER(E95),SEARCH(" ",E95)+1,1),
LEFT(UPPER(E95),3))
&amp;
TEXT(COUNTIF($E$2:E95,E95),"000")</f>
        <v>PAT001</v>
      </c>
      <c r="C95" t="s">
        <v>216</v>
      </c>
      <c r="D95">
        <f>IFERROR(INDEX(dim_categories!$A:$A,MATCH(E95,dim_categories!$C:$C,0)),"")</f>
        <v>25</v>
      </c>
      <c r="E95" t="s">
        <v>92</v>
      </c>
      <c r="F95" t="s">
        <v>106</v>
      </c>
      <c r="G95">
        <v>20</v>
      </c>
      <c r="H95" s="32">
        <f>G95/5</f>
        <v>4</v>
      </c>
      <c r="I95" t="s">
        <v>136</v>
      </c>
      <c r="J95" s="8">
        <v>46174</v>
      </c>
      <c r="N95" t="str">
        <f>IF(ISNUMBER(MATCH(C95,fact_inventaire!$E:$E,0)),"OK","MANQUANT")</f>
        <v>OK</v>
      </c>
    </row>
    <row r="96" spans="1:14">
      <c r="A96" s="13">
        <f t="shared" si="5"/>
        <v>95</v>
      </c>
      <c r="B96" t="str">
        <f>IF(ISNUMBER(SEARCH(" ",E96)),
LEFT(UPPER(E96),2)&amp;MID(UPPER(E96),SEARCH(" ",E96)+1,1),
LEFT(UPPER(E96),3))
&amp;
TEXT(COUNTIF($E$2:E96,E96),"000")</f>
        <v>PAT002</v>
      </c>
      <c r="C96" t="s">
        <v>404</v>
      </c>
      <c r="D96">
        <f>IFERROR(INDEX(dim_categories!$A:$A,MATCH(E96,dim_categories!$C:$C,0)),"")</f>
        <v>25</v>
      </c>
      <c r="E96" t="s">
        <v>92</v>
      </c>
      <c r="F96" t="s">
        <v>106</v>
      </c>
      <c r="G96">
        <v>40</v>
      </c>
      <c r="H96" s="32">
        <f>G96/10</f>
        <v>4</v>
      </c>
      <c r="I96" t="s">
        <v>136</v>
      </c>
      <c r="J96" s="8">
        <v>46174</v>
      </c>
      <c r="N96" t="str">
        <f>IF(ISNUMBER(MATCH(C96,fact_inventaire!$E:$E,0)),"OK","MANQUANT")</f>
        <v>OK</v>
      </c>
    </row>
    <row r="97" spans="1:14">
      <c r="A97" s="13">
        <f t="shared" si="5"/>
        <v>96</v>
      </c>
      <c r="B97" t="str">
        <f>IF(ISNUMBER(SEARCH(" ",E97)),
LEFT(UPPER(E97),2)&amp;MID(UPPER(E97),SEARCH(" ",E97)+1,1),
LEFT(UPPER(E97),3))
&amp;
TEXT(COUNTIF($E$2:E97,E97),"000")</f>
        <v>POM001</v>
      </c>
      <c r="C97" t="s">
        <v>252</v>
      </c>
      <c r="D97">
        <f>IFERROR(INDEX(dim_categories!$A:$A,MATCH(E97,dim_categories!$C:$C,0)),"")</f>
        <v>26</v>
      </c>
      <c r="E97" t="s">
        <v>103</v>
      </c>
      <c r="F97" t="s">
        <v>105</v>
      </c>
      <c r="G97" s="23">
        <v>10</v>
      </c>
      <c r="H97" s="32">
        <v>1</v>
      </c>
      <c r="I97" t="s">
        <v>136</v>
      </c>
      <c r="J97" s="8">
        <v>46174</v>
      </c>
      <c r="N97" t="str">
        <f>IF(ISNUMBER(MATCH(C97,fact_inventaire!$E:$E,0)),"OK","MANQUANT")</f>
        <v>OK</v>
      </c>
    </row>
    <row r="98" spans="1:14">
      <c r="A98" s="13">
        <f t="shared" si="5"/>
        <v>97</v>
      </c>
      <c r="B98" t="str">
        <f>IF(ISNUMBER(SEARCH(" ",E98)),
LEFT(UPPER(E98),2)&amp;MID(UPPER(E98),SEARCH(" ",E98)+1,1),
LEFT(UPPER(E98),3))
&amp;
TEXT(COUNTIF($E$2:E98,E98),"000")</f>
        <v>TAB001</v>
      </c>
      <c r="C98" t="s">
        <v>350</v>
      </c>
      <c r="D98">
        <f>IFERROR(INDEX(dim_categories!$A:$A,MATCH(E98,dim_categories!$C:$C,0)),"")</f>
        <v>27</v>
      </c>
      <c r="E98" t="s">
        <v>95</v>
      </c>
      <c r="F98" t="s">
        <v>106</v>
      </c>
      <c r="G98">
        <v>20</v>
      </c>
      <c r="H98" s="32">
        <f>G98/1</f>
        <v>20</v>
      </c>
      <c r="I98" t="s">
        <v>136</v>
      </c>
      <c r="J98" s="8">
        <v>46174</v>
      </c>
      <c r="N98" t="str">
        <f>IF(ISNUMBER(MATCH(C98,fact_inventaire!$E:$E,0)),"OK","MANQUANT")</f>
        <v>OK</v>
      </c>
    </row>
    <row r="99" spans="1:14">
      <c r="A99" s="13">
        <f t="shared" si="5"/>
        <v>98</v>
      </c>
      <c r="B99" t="str">
        <f>IF(ISNUMBER(SEARCH(" ",E99)),
LEFT(UPPER(E99),2)&amp;MID(UPPER(E99),SEARCH(" ",E99)+1,1),
LEFT(UPPER(E99),3))
&amp;
TEXT(COUNTIF($E$2:E99,E99),"000")</f>
        <v>TAB002</v>
      </c>
      <c r="C99" t="s">
        <v>159</v>
      </c>
      <c r="D99">
        <f>IFERROR(INDEX(dim_categories!$A:$A,MATCH(E99,dim_categories!$C:$C,0)),"")</f>
        <v>27</v>
      </c>
      <c r="E99" t="s">
        <v>95</v>
      </c>
      <c r="F99" t="s">
        <v>106</v>
      </c>
      <c r="G99">
        <v>20</v>
      </c>
      <c r="H99" s="32">
        <f>G99/1</f>
        <v>20</v>
      </c>
      <c r="I99" t="s">
        <v>136</v>
      </c>
      <c r="J99" s="8">
        <v>46174</v>
      </c>
      <c r="N99" t="str">
        <f>IF(ISNUMBER(MATCH(C99,fact_inventaire!$E:$E,0)),"OK","MANQUANT")</f>
        <v>OK</v>
      </c>
    </row>
    <row r="100" spans="1:14">
      <c r="A100" s="13">
        <f t="shared" si="5"/>
        <v>99</v>
      </c>
      <c r="B100" t="str">
        <f>IF(ISNUMBER(SEARCH(" ",E100)),
LEFT(UPPER(E100),2)&amp;MID(UPPER(E100),SEARCH(" ",E100)+1,1),
LEFT(UPPER(E100),3))
&amp;
TEXT(COUNTIF($E$2:E100,E100),"000")</f>
        <v>TAB003</v>
      </c>
      <c r="C100" t="s">
        <v>163</v>
      </c>
      <c r="D100">
        <f>IFERROR(INDEX(dim_categories!$A:$A,MATCH(E100,dim_categories!$C:$C,0)),"")</f>
        <v>27</v>
      </c>
      <c r="E100" t="s">
        <v>95</v>
      </c>
      <c r="F100" t="s">
        <v>106</v>
      </c>
      <c r="G100">
        <v>20</v>
      </c>
      <c r="H100" s="32">
        <f>G100/1</f>
        <v>20</v>
      </c>
      <c r="I100" t="s">
        <v>136</v>
      </c>
      <c r="J100" s="8">
        <v>46174</v>
      </c>
      <c r="N100" t="str">
        <f>IF(ISNUMBER(MATCH(C100,fact_inventaire!$E:$E,0)),"OK","MANQUANT")</f>
        <v>OK</v>
      </c>
    </row>
    <row r="101" spans="1:14">
      <c r="A101" s="13">
        <f t="shared" si="5"/>
        <v>100</v>
      </c>
      <c r="B101" t="str">
        <f>IF(ISNUMBER(SEARCH(" ",E101)),
LEFT(UPPER(E101),2)&amp;MID(UPPER(E101),SEARCH(" ",E101)+1,1),
LEFT(UPPER(E101),3))
&amp;
TEXT(COUNTIF($E$2:E101,E101),"000")</f>
        <v>VIN001</v>
      </c>
      <c r="C101" t="s">
        <v>192</v>
      </c>
      <c r="D101">
        <f>IFERROR(INDEX(dim_categories!$A:$A,MATCH(E101,dim_categories!$C:$C,0)),"")</f>
        <v>28</v>
      </c>
      <c r="E101" t="s">
        <v>51</v>
      </c>
      <c r="F101" t="s">
        <v>54</v>
      </c>
      <c r="G101">
        <v>12</v>
      </c>
      <c r="H101" s="32">
        <f>G101/2</f>
        <v>6</v>
      </c>
      <c r="I101" t="s">
        <v>136</v>
      </c>
      <c r="J101" s="8">
        <v>46174</v>
      </c>
      <c r="N101" t="str">
        <f>IF(ISNUMBER(MATCH(C101,fact_inventaire!$E:$E,0)),"OK","MANQUANT")</f>
        <v>OK</v>
      </c>
    </row>
    <row r="102" spans="1:14">
      <c r="A102" s="13">
        <f t="shared" si="5"/>
        <v>101</v>
      </c>
      <c r="B102" t="str">
        <f>IF(ISNUMBER(SEARCH(" ",E102)),
LEFT(UPPER(E102),2)&amp;MID(UPPER(E102),SEARCH(" ",E102)+1,1),
LEFT(UPPER(E102),3))
&amp;
TEXT(COUNTIF($E$2:E102,E102),"000")</f>
        <v>VIN002</v>
      </c>
      <c r="C102" t="s">
        <v>185</v>
      </c>
      <c r="D102">
        <f>IFERROR(INDEX(dim_categories!$A:$A,MATCH(E102,dim_categories!$C:$C,0)),"")</f>
        <v>28</v>
      </c>
      <c r="E102" t="s">
        <v>51</v>
      </c>
      <c r="F102" t="s">
        <v>54</v>
      </c>
      <c r="G102">
        <v>12</v>
      </c>
      <c r="H102" s="32">
        <f>G102/2</f>
        <v>6</v>
      </c>
      <c r="I102" t="s">
        <v>136</v>
      </c>
      <c r="J102" s="8">
        <v>46174</v>
      </c>
      <c r="N102" t="str">
        <f>IF(ISNUMBER(MATCH(C102,fact_inventaire!$E:$E,0)),"OK","MANQUANT")</f>
        <v>OK</v>
      </c>
    </row>
    <row r="103" spans="1:14">
      <c r="A103" s="13">
        <f t="shared" si="5"/>
        <v>102</v>
      </c>
      <c r="B103" t="str">
        <f>IF(ISNUMBER(SEARCH(" ",E103)),
LEFT(UPPER(E103),2)&amp;MID(UPPER(E103),SEARCH(" ",E103)+1,1),
LEFT(UPPER(E103),3))
&amp;
TEXT(COUNTIF($E$2:E103,E103),"000")</f>
        <v>VIN003</v>
      </c>
      <c r="C103" t="s">
        <v>172</v>
      </c>
      <c r="D103">
        <f>IFERROR(INDEX(dim_categories!$A:$A,MATCH(E103,dim_categories!$C:$C,0)),"")</f>
        <v>28</v>
      </c>
      <c r="E103" t="s">
        <v>51</v>
      </c>
      <c r="F103" t="s">
        <v>54</v>
      </c>
      <c r="G103">
        <v>12</v>
      </c>
      <c r="H103" s="32">
        <f>G103/2</f>
        <v>6</v>
      </c>
      <c r="I103" t="s">
        <v>136</v>
      </c>
      <c r="J103" s="8">
        <v>46174</v>
      </c>
      <c r="N103" t="str">
        <f>IF(ISNUMBER(MATCH(C103,fact_inventaire!$E:$E,0)),"OK","MANQUANT")</f>
        <v>OK</v>
      </c>
    </row>
    <row r="104" spans="1:14">
      <c r="A104" s="13">
        <f t="shared" si="5"/>
        <v>103</v>
      </c>
      <c r="B104" t="str">
        <f>IF(ISNUMBER(SEARCH(" ",E104)),
LEFT(UPPER(E104),2)&amp;MID(UPPER(E104),SEARCH(" ",E104)+1,1),
LEFT(UPPER(E104),3))
&amp;
TEXT(COUNTIF($E$2:E104,E104),"000")</f>
        <v>VIN004</v>
      </c>
      <c r="C104" t="s">
        <v>173</v>
      </c>
      <c r="D104">
        <f>IFERROR(INDEX(dim_categories!$A:$A,MATCH(E104,dim_categories!$C:$C,0)),"")</f>
        <v>28</v>
      </c>
      <c r="E104" t="s">
        <v>51</v>
      </c>
      <c r="F104" t="s">
        <v>54</v>
      </c>
      <c r="G104">
        <v>12</v>
      </c>
      <c r="H104" s="32">
        <f>G104/2</f>
        <v>6</v>
      </c>
      <c r="I104" t="s">
        <v>136</v>
      </c>
      <c r="J104" s="8">
        <v>46174</v>
      </c>
      <c r="N104" t="str">
        <f>IF(ISNUMBER(MATCH(C104,fact_inventaire!$E:$E,0)),"OK","MANQUANT")</f>
        <v>OK</v>
      </c>
    </row>
    <row r="105" spans="1:14">
      <c r="A105" s="13">
        <f t="shared" si="5"/>
        <v>104</v>
      </c>
      <c r="B105" t="str">
        <f>IF(ISNUMBER(SEARCH(" ",E105)),
LEFT(UPPER(E105),2)&amp;MID(UPPER(E105),SEARCH(" ",E105)+1,1),
LEFT(UPPER(E105),3))
&amp;
TEXT(COUNTIF($E$2:E105,E105),"000")</f>
        <v>VIN005</v>
      </c>
      <c r="C105" t="s">
        <v>174</v>
      </c>
      <c r="D105">
        <f>IFERROR(INDEX(dim_categories!$A:$A,MATCH(E105,dim_categories!$C:$C,0)),"")</f>
        <v>28</v>
      </c>
      <c r="E105" t="s">
        <v>51</v>
      </c>
      <c r="F105" t="s">
        <v>54</v>
      </c>
      <c r="G105">
        <v>12</v>
      </c>
      <c r="H105" s="32">
        <f>G105/2</f>
        <v>6</v>
      </c>
      <c r="I105" t="s">
        <v>136</v>
      </c>
      <c r="J105" s="8">
        <v>46174</v>
      </c>
      <c r="N105" t="str">
        <f>IF(ISNUMBER(MATCH(C105,fact_inventaire!$E:$E,0)),"OK","MANQUANT")</f>
        <v>OK</v>
      </c>
    </row>
    <row r="106" spans="1:14">
      <c r="A106" s="13">
        <f t="shared" si="5"/>
        <v>105</v>
      </c>
      <c r="B106" t="str">
        <f>IF(ISNUMBER(SEARCH(" ",E106)),
LEFT(UPPER(E106),2)&amp;MID(UPPER(E106),SEARCH(" ",E106)+1,1),
LEFT(UPPER(E106),3))
&amp;
TEXT(COUNTIF($E$2:E106,E106),"000")</f>
        <v>HYC001</v>
      </c>
      <c r="C106" t="s">
        <v>351</v>
      </c>
      <c r="D106">
        <f>IFERROR(INDEX(dim_categories!$A:$A,MATCH(E106,dim_categories!$C:$C,0)),"")</f>
        <v>31</v>
      </c>
      <c r="E106" t="s">
        <v>289</v>
      </c>
      <c r="F106" t="s">
        <v>105</v>
      </c>
      <c r="G106" s="23">
        <v>10</v>
      </c>
      <c r="H106">
        <v>1</v>
      </c>
      <c r="I106" t="s">
        <v>136</v>
      </c>
      <c r="J106" s="8">
        <v>46174</v>
      </c>
      <c r="N106" t="str">
        <f>IF(ISNUMBER(MATCH(C106,fact_inventaire!$E:$E,0)),"OK","MANQUANT")</f>
        <v>OK</v>
      </c>
    </row>
    <row r="107" spans="1:14">
      <c r="C107" s="23"/>
    </row>
    <row r="108" spans="1:14">
      <c r="C108" s="23"/>
    </row>
    <row r="109" spans="1:14">
      <c r="C109" s="104"/>
    </row>
    <row r="110" spans="1:14">
      <c r="C110" s="104"/>
    </row>
    <row r="111" spans="1:14">
      <c r="C111" s="104"/>
    </row>
    <row r="113" spans="3:3">
      <c r="C113" s="105"/>
    </row>
    <row r="114" spans="3:3">
      <c r="C114" s="104"/>
    </row>
    <row r="115" spans="3:3">
      <c r="C115" s="104"/>
    </row>
    <row r="116" spans="3:3">
      <c r="C116" s="104"/>
    </row>
  </sheetData>
  <sortState xmlns:xlrd2="http://schemas.microsoft.com/office/spreadsheetml/2017/richdata2" ref="C2:J106">
    <sortCondition ref="E2:E106"/>
  </sortState>
  <phoneticPr fontId="3" type="noConversion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8BF6-F502-42EA-9CF9-31E483364FEB}">
  <dimension ref="A1:L399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E1" sqref="E1:H1"/>
    </sheetView>
  </sheetViews>
  <sheetFormatPr baseColWidth="10" defaultRowHeight="14.4"/>
  <cols>
    <col min="1" max="1" width="16.109375" customWidth="1"/>
    <col min="3" max="3" width="13" customWidth="1"/>
    <col min="5" max="8" width="17.5546875" style="12" customWidth="1"/>
    <col min="9" max="9" width="30.33203125" customWidth="1"/>
  </cols>
  <sheetData>
    <row r="1" spans="1:12">
      <c r="A1" s="1" t="s">
        <v>353</v>
      </c>
      <c r="B1" s="1" t="s">
        <v>352</v>
      </c>
      <c r="C1" s="1" t="s">
        <v>139</v>
      </c>
      <c r="D1" s="1" t="s">
        <v>74</v>
      </c>
      <c r="E1" s="11" t="s">
        <v>38</v>
      </c>
      <c r="F1" s="11" t="s">
        <v>39</v>
      </c>
      <c r="G1" s="11" t="s">
        <v>145</v>
      </c>
      <c r="H1" s="11" t="s">
        <v>146</v>
      </c>
      <c r="I1" s="14" t="s">
        <v>4</v>
      </c>
    </row>
    <row r="2" spans="1:12">
      <c r="A2">
        <v>1</v>
      </c>
      <c r="B2">
        <v>1</v>
      </c>
      <c r="C2">
        <f>IFERROR(_xlfn.XLOOKUP(I2,dim_produits!$C:$C,dim_produits!$A:$A,""),"")</f>
        <v>9</v>
      </c>
      <c r="D2">
        <v>8</v>
      </c>
      <c r="E2" s="12">
        <v>750</v>
      </c>
      <c r="F2" s="112">
        <f t="shared" ref="F2:F66" si="0">D2*E2</f>
        <v>6000</v>
      </c>
      <c r="G2" s="12">
        <f>_xlfn.XLOOKUP(I2,dim_lignes_achat!$L:$L,dim_lignes_achat!$H:$H,"Nicht gefunden",0)</f>
        <v>650</v>
      </c>
      <c r="H2" s="12">
        <f>IF(ISNUMBER(G2),G2*D2,"")</f>
        <v>5200</v>
      </c>
      <c r="I2" t="s">
        <v>222</v>
      </c>
      <c r="L2" t="str">
        <f>IF(ISNUMBER(MATCH(I2,dim_produits!$C:$C,0)),"OK","MANQUANT")</f>
        <v>OK</v>
      </c>
    </row>
    <row r="3" spans="1:12">
      <c r="A3">
        <f>A2+1</f>
        <v>2</v>
      </c>
      <c r="B3">
        <v>1</v>
      </c>
      <c r="C3">
        <f>IFERROR(_xlfn.XLOOKUP(I3,dim_produits!$C:$C,dim_produits!$A:$A,""),"")</f>
        <v>17</v>
      </c>
      <c r="D3">
        <v>3</v>
      </c>
      <c r="E3" s="12">
        <v>600</v>
      </c>
      <c r="F3" s="12">
        <f t="shared" si="0"/>
        <v>1800</v>
      </c>
      <c r="G3" s="12">
        <f>_xlfn.XLOOKUP(I3,dim_lignes_achat!$L:$L,dim_lignes_achat!$H:$H,"Nicht gefunden",0)</f>
        <v>450</v>
      </c>
      <c r="H3" s="12">
        <f t="shared" ref="H3:H67" si="1">IF(ISNUMBER(G3),G3*D3,"")</f>
        <v>1350</v>
      </c>
      <c r="I3" t="s">
        <v>225</v>
      </c>
      <c r="L3" t="str">
        <f>IF(ISNUMBER(MATCH(I3,dim_produits!$C:$C,0)),"OK","MANQUANT")</f>
        <v>OK</v>
      </c>
    </row>
    <row r="4" spans="1:12">
      <c r="A4">
        <f t="shared" ref="A4:A67" si="2">A3+1</f>
        <v>3</v>
      </c>
      <c r="B4">
        <v>1</v>
      </c>
      <c r="C4">
        <f>IFERROR(_xlfn.XLOOKUP(I4,dim_produits!$C:$C,dim_produits!$A:$A,""),"")</f>
        <v>72</v>
      </c>
      <c r="D4">
        <v>3</v>
      </c>
      <c r="E4" s="12">
        <v>500</v>
      </c>
      <c r="F4" s="12">
        <f t="shared" si="0"/>
        <v>1500</v>
      </c>
      <c r="G4" s="12">
        <f>_xlfn.XLOOKUP(I4,dim_lignes_achat!$L:$L,dim_lignes_achat!$H:$H,"Nicht gefunden",0)</f>
        <v>416.66666666666669</v>
      </c>
      <c r="H4" s="12">
        <f t="shared" si="1"/>
        <v>1250</v>
      </c>
      <c r="I4" t="s">
        <v>195</v>
      </c>
      <c r="L4" t="str">
        <f>IF(ISNUMBER(MATCH(I4,dim_produits!$C:$C,0)),"OK","MANQUANT")</f>
        <v>OK</v>
      </c>
    </row>
    <row r="5" spans="1:12">
      <c r="A5">
        <f t="shared" si="2"/>
        <v>4</v>
      </c>
      <c r="B5">
        <v>1</v>
      </c>
      <c r="C5">
        <f>IFERROR(_xlfn.XLOOKUP(I5,dim_produits!$C:$C,dim_produits!$A:$A,""),"")</f>
        <v>56</v>
      </c>
      <c r="D5">
        <v>1</v>
      </c>
      <c r="E5" s="12">
        <v>900</v>
      </c>
      <c r="F5" s="12">
        <f t="shared" si="0"/>
        <v>900</v>
      </c>
      <c r="G5" s="12">
        <f>_xlfn.XLOOKUP(I5,dim_lignes_achat!$L:$L,dim_lignes_achat!$H:$H,"Nicht gefunden",0)</f>
        <v>650</v>
      </c>
      <c r="H5" s="12">
        <f t="shared" si="1"/>
        <v>650</v>
      </c>
      <c r="I5" t="s">
        <v>238</v>
      </c>
      <c r="L5" t="str">
        <f>IF(ISNUMBER(MATCH(I5,dim_produits!$C:$C,0)),"OK","MANQUANT")</f>
        <v>OK</v>
      </c>
    </row>
    <row r="6" spans="1:12">
      <c r="A6">
        <f t="shared" si="2"/>
        <v>5</v>
      </c>
      <c r="B6">
        <v>1</v>
      </c>
      <c r="C6">
        <f>IFERROR(_xlfn.XLOOKUP(I6,dim_produits!$C:$C,dim_produits!$A:$A,""),"")</f>
        <v>54</v>
      </c>
      <c r="D6">
        <v>1</v>
      </c>
      <c r="E6" s="12">
        <v>800</v>
      </c>
      <c r="F6" s="12">
        <f t="shared" si="0"/>
        <v>800</v>
      </c>
      <c r="G6" s="12">
        <f>_xlfn.XLOOKUP(I6,dim_lignes_achat!$L:$L,dim_lignes_achat!$H:$H,"Nicht gefunden",0)</f>
        <v>595.83333333333337</v>
      </c>
      <c r="H6" s="12">
        <f t="shared" si="1"/>
        <v>595.83333333333337</v>
      </c>
      <c r="I6" t="s">
        <v>235</v>
      </c>
      <c r="L6" t="str">
        <f>IF(ISNUMBER(MATCH(I6,dim_produits!$C:$C,0)),"OK","MANQUANT")</f>
        <v>OK</v>
      </c>
    </row>
    <row r="7" spans="1:12">
      <c r="A7">
        <f t="shared" si="2"/>
        <v>6</v>
      </c>
      <c r="B7">
        <v>1</v>
      </c>
      <c r="C7">
        <f>IFERROR(_xlfn.XLOOKUP(I7,dim_produits!$C:$C,dim_produits!$A:$A,""),"")</f>
        <v>52</v>
      </c>
      <c r="D7">
        <v>1</v>
      </c>
      <c r="E7" s="12">
        <v>600</v>
      </c>
      <c r="F7" s="12">
        <f t="shared" si="0"/>
        <v>600</v>
      </c>
      <c r="G7" s="12">
        <f>_xlfn.XLOOKUP(I7,dim_lignes_achat!$L:$L,dim_lignes_achat!$H:$H,"Nicht gefunden",0)</f>
        <v>470.83333333333331</v>
      </c>
      <c r="H7" s="12">
        <f t="shared" si="1"/>
        <v>470.83333333333331</v>
      </c>
      <c r="I7" t="s">
        <v>237</v>
      </c>
      <c r="L7" t="str">
        <f>IF(ISNUMBER(MATCH(I7,dim_produits!$C:$C,0)),"OK","MANQUANT")</f>
        <v>OK</v>
      </c>
    </row>
    <row r="8" spans="1:12">
      <c r="A8">
        <f t="shared" si="2"/>
        <v>7</v>
      </c>
      <c r="B8">
        <v>1</v>
      </c>
      <c r="C8">
        <f>IFERROR(_xlfn.XLOOKUP(I8,dim_produits!$C:$C,dim_produits!$A:$A,""),"")</f>
        <v>18</v>
      </c>
      <c r="D8">
        <v>5</v>
      </c>
      <c r="E8" s="12">
        <v>750</v>
      </c>
      <c r="F8" s="12">
        <f t="shared" si="0"/>
        <v>3750</v>
      </c>
      <c r="G8" s="12">
        <f>_xlfn.XLOOKUP(I8,dim_lignes_achat!$L:$L,dim_lignes_achat!$H:$H,"Nicht gefunden",0)</f>
        <v>650</v>
      </c>
      <c r="H8" s="12">
        <f t="shared" si="1"/>
        <v>3250</v>
      </c>
      <c r="I8" t="s">
        <v>228</v>
      </c>
      <c r="L8" t="str">
        <f>IF(ISNUMBER(MATCH(I8,dim_produits!$C:$C,0)),"OK","MANQUANT")</f>
        <v>OK</v>
      </c>
    </row>
    <row r="9" spans="1:12">
      <c r="A9">
        <f t="shared" si="2"/>
        <v>8</v>
      </c>
      <c r="B9">
        <v>2</v>
      </c>
      <c r="C9">
        <f>IFERROR(_xlfn.XLOOKUP(I9,dim_produits!$C:$C,dim_produits!$A:$A,""),"")</f>
        <v>9</v>
      </c>
      <c r="D9">
        <v>2</v>
      </c>
      <c r="E9" s="12">
        <v>750</v>
      </c>
      <c r="F9" s="12">
        <f t="shared" si="0"/>
        <v>1500</v>
      </c>
      <c r="G9" s="12">
        <f>_xlfn.XLOOKUP(I9,dim_lignes_achat!$L:$L,dim_lignes_achat!$H:$H,"Nicht gefunden",0)</f>
        <v>650</v>
      </c>
      <c r="H9" s="12">
        <f t="shared" si="1"/>
        <v>1300</v>
      </c>
      <c r="I9" t="s">
        <v>222</v>
      </c>
      <c r="L9" t="str">
        <f>IF(ISNUMBER(MATCH(I9,dim_produits!$C:$C,0)),"OK","MANQUANT")</f>
        <v>OK</v>
      </c>
    </row>
    <row r="10" spans="1:12">
      <c r="A10">
        <f t="shared" si="2"/>
        <v>9</v>
      </c>
      <c r="B10">
        <v>2</v>
      </c>
      <c r="C10">
        <f>IFERROR(_xlfn.XLOOKUP(I10,dim_produits!$C:$C,dim_produits!$A:$A,""),"")</f>
        <v>17</v>
      </c>
      <c r="D10">
        <v>1</v>
      </c>
      <c r="E10" s="12">
        <v>600</v>
      </c>
      <c r="F10" s="12">
        <f t="shared" si="0"/>
        <v>600</v>
      </c>
      <c r="G10" s="12">
        <f>_xlfn.XLOOKUP(I10,dim_lignes_achat!$L:$L,dim_lignes_achat!$H:$H,"Nicht gefunden",0)</f>
        <v>450</v>
      </c>
      <c r="H10" s="12">
        <f t="shared" si="1"/>
        <v>450</v>
      </c>
      <c r="I10" t="s">
        <v>225</v>
      </c>
      <c r="L10" t="str">
        <f>IF(ISNUMBER(MATCH(I10,dim_produits!$C:$C,0)),"OK","MANQUANT")</f>
        <v>OK</v>
      </c>
    </row>
    <row r="11" spans="1:12">
      <c r="A11">
        <f t="shared" si="2"/>
        <v>10</v>
      </c>
      <c r="B11">
        <v>2</v>
      </c>
      <c r="C11">
        <f>IFERROR(_xlfn.XLOOKUP(I11,dim_produits!$C:$C,dim_produits!$A:$A,""),"")</f>
        <v>72</v>
      </c>
      <c r="D11">
        <v>6</v>
      </c>
      <c r="E11" s="12">
        <v>500</v>
      </c>
      <c r="F11" s="12">
        <f t="shared" si="0"/>
        <v>3000</v>
      </c>
      <c r="G11" s="12">
        <f>_xlfn.XLOOKUP(I11,dim_lignes_achat!$L:$L,dim_lignes_achat!$H:$H,"Nicht gefunden",0)</f>
        <v>416.66666666666669</v>
      </c>
      <c r="H11" s="12">
        <f t="shared" si="1"/>
        <v>2500</v>
      </c>
      <c r="I11" t="s">
        <v>195</v>
      </c>
      <c r="L11" t="str">
        <f>IF(ISNUMBER(MATCH(I11,dim_produits!$C:$C,0)),"OK","MANQUANT")</f>
        <v>OK</v>
      </c>
    </row>
    <row r="12" spans="1:12">
      <c r="A12">
        <f t="shared" si="2"/>
        <v>11</v>
      </c>
      <c r="B12">
        <v>2</v>
      </c>
      <c r="C12">
        <f>IFERROR(_xlfn.XLOOKUP(I12,dim_produits!$C:$C,dim_produits!$A:$A,""),"")</f>
        <v>54</v>
      </c>
      <c r="D12">
        <v>6</v>
      </c>
      <c r="E12" s="12">
        <v>800</v>
      </c>
      <c r="F12" s="12">
        <f t="shared" si="0"/>
        <v>4800</v>
      </c>
      <c r="G12" s="12">
        <f>_xlfn.XLOOKUP(I12,dim_lignes_achat!$L:$L,dim_lignes_achat!$H:$H,"Nicht gefunden",0)</f>
        <v>595.83333333333337</v>
      </c>
      <c r="H12" s="12">
        <f t="shared" si="1"/>
        <v>3575</v>
      </c>
      <c r="I12" t="s">
        <v>235</v>
      </c>
      <c r="L12" t="str">
        <f>IF(ISNUMBER(MATCH(I12,dim_produits!$C:$C,0)),"OK","MANQUANT")</f>
        <v>OK</v>
      </c>
    </row>
    <row r="13" spans="1:12">
      <c r="A13">
        <f t="shared" si="2"/>
        <v>12</v>
      </c>
      <c r="B13">
        <v>2</v>
      </c>
      <c r="C13">
        <f>IFERROR(_xlfn.XLOOKUP(I13,dim_produits!$C:$C,dim_produits!$A:$A,""),"")</f>
        <v>16</v>
      </c>
      <c r="D13">
        <v>2</v>
      </c>
      <c r="E13" s="12">
        <v>750</v>
      </c>
      <c r="F13" s="12">
        <f t="shared" si="0"/>
        <v>1500</v>
      </c>
      <c r="G13" s="12">
        <f>_xlfn.XLOOKUP(I13,dim_lignes_achat!$L:$L,dim_lignes_achat!$H:$H,"Nicht gefunden",0)</f>
        <v>650</v>
      </c>
      <c r="H13" s="12">
        <f t="shared" si="1"/>
        <v>1300</v>
      </c>
      <c r="I13" t="s">
        <v>419</v>
      </c>
      <c r="L13" t="str">
        <f>IF(ISNUMBER(MATCH(I13,dim_produits!$C:$C,0)),"OK","MANQUANT")</f>
        <v>OK</v>
      </c>
    </row>
    <row r="14" spans="1:12">
      <c r="A14">
        <f t="shared" si="2"/>
        <v>13</v>
      </c>
      <c r="B14">
        <v>2</v>
      </c>
      <c r="C14">
        <f>IFERROR(_xlfn.XLOOKUP(I14,dim_produits!$C:$C,dim_produits!$A:$A,""),"")</f>
        <v>12</v>
      </c>
      <c r="D14">
        <v>3</v>
      </c>
      <c r="E14" s="12">
        <v>750</v>
      </c>
      <c r="F14" s="12">
        <f t="shared" si="0"/>
        <v>2250</v>
      </c>
      <c r="G14" s="12">
        <f>_xlfn.XLOOKUP(I14,dim_lignes_achat!$L:$L,dim_lignes_achat!$H:$H,"Nicht gefunden",0)</f>
        <v>650</v>
      </c>
      <c r="H14" s="12">
        <f t="shared" si="1"/>
        <v>1950</v>
      </c>
      <c r="I14" t="s">
        <v>229</v>
      </c>
      <c r="L14" t="str">
        <f>IF(ISNUMBER(MATCH(I14,dim_produits!$C:$C,0)),"OK","MANQUANT")</f>
        <v>OK</v>
      </c>
    </row>
    <row r="15" spans="1:12">
      <c r="A15">
        <f t="shared" si="2"/>
        <v>14</v>
      </c>
      <c r="B15">
        <v>2</v>
      </c>
      <c r="C15">
        <f>IFERROR(_xlfn.XLOOKUP(I15,dim_produits!$C:$C,dim_produits!$A:$A,""),"")</f>
        <v>36</v>
      </c>
      <c r="D15">
        <v>3</v>
      </c>
      <c r="E15" s="12">
        <v>300</v>
      </c>
      <c r="F15" s="12">
        <f t="shared" si="0"/>
        <v>900</v>
      </c>
      <c r="G15" s="12">
        <f>_xlfn.XLOOKUP(I15,dim_lignes_achat!$L:$L,dim_lignes_achat!$H:$H,"Nicht gefunden",0)</f>
        <v>200</v>
      </c>
      <c r="H15" s="12">
        <f t="shared" si="1"/>
        <v>600</v>
      </c>
      <c r="I15" t="s">
        <v>215</v>
      </c>
      <c r="L15" t="str">
        <f>IF(ISNUMBER(MATCH(I15,dim_produits!$C:$C,0)),"OK","MANQUANT")</f>
        <v>OK</v>
      </c>
    </row>
    <row r="16" spans="1:12">
      <c r="A16">
        <f t="shared" si="2"/>
        <v>15</v>
      </c>
      <c r="B16">
        <v>2</v>
      </c>
      <c r="C16">
        <f>IFERROR(_xlfn.XLOOKUP(I16,dim_produits!$C:$C,dim_produits!$A:$A,""),"")</f>
        <v>5</v>
      </c>
      <c r="D16">
        <v>2</v>
      </c>
      <c r="E16" s="12">
        <v>500</v>
      </c>
      <c r="F16" s="12">
        <f t="shared" si="0"/>
        <v>1000</v>
      </c>
      <c r="G16" s="12">
        <f>_xlfn.XLOOKUP(I16,dim_lignes_achat!$L:$L,dim_lignes_achat!$H:$H,"Nicht gefunden",0)</f>
        <v>199.99799999999999</v>
      </c>
      <c r="H16" s="12">
        <f t="shared" si="1"/>
        <v>399.99599999999998</v>
      </c>
      <c r="I16" t="s">
        <v>197</v>
      </c>
      <c r="L16" t="str">
        <f>IF(ISNUMBER(MATCH(I16,dim_produits!$C:$C,0)),"OK","MANQUANT")</f>
        <v>OK</v>
      </c>
    </row>
    <row r="17" spans="1:12">
      <c r="A17">
        <f t="shared" si="2"/>
        <v>16</v>
      </c>
      <c r="B17">
        <v>2</v>
      </c>
      <c r="C17">
        <f>IFERROR(_xlfn.XLOOKUP(I17,dim_produits!$C:$C,dim_produits!$A:$A,""),"")</f>
        <v>33</v>
      </c>
      <c r="D17">
        <v>1</v>
      </c>
      <c r="E17" s="12">
        <v>400</v>
      </c>
      <c r="F17" s="12">
        <f t="shared" si="0"/>
        <v>400</v>
      </c>
      <c r="G17" s="12">
        <f>_xlfn.XLOOKUP(I17,dim_lignes_achat!$L:$L,dim_lignes_achat!$H:$H,"Nicht gefunden",0)</f>
        <v>225</v>
      </c>
      <c r="H17" s="12">
        <f t="shared" si="1"/>
        <v>225</v>
      </c>
      <c r="I17" t="s">
        <v>212</v>
      </c>
      <c r="L17" t="str">
        <f>IF(ISNUMBER(MATCH(I17,dim_produits!$C:$C,0)),"OK","MANQUANT")</f>
        <v>OK</v>
      </c>
    </row>
    <row r="18" spans="1:12">
      <c r="A18">
        <f t="shared" si="2"/>
        <v>17</v>
      </c>
      <c r="B18">
        <v>2</v>
      </c>
      <c r="C18">
        <f>IFERROR(_xlfn.XLOOKUP(I18,dim_produits!$C:$C,dim_produits!$A:$A,""),"")</f>
        <v>53</v>
      </c>
      <c r="D18">
        <v>2</v>
      </c>
      <c r="E18" s="12">
        <v>800</v>
      </c>
      <c r="F18" s="12">
        <f t="shared" si="0"/>
        <v>1600</v>
      </c>
      <c r="G18" s="12">
        <f>_xlfn.XLOOKUP(I18,dim_lignes_achat!$L:$L,dim_lignes_achat!$H:$H,"Nicht gefunden",0)</f>
        <v>600</v>
      </c>
      <c r="H18" s="12">
        <f t="shared" si="1"/>
        <v>1200</v>
      </c>
      <c r="I18" t="s">
        <v>370</v>
      </c>
      <c r="L18" t="str">
        <f>IF(ISNUMBER(MATCH(I18,dim_produits!$C:$C,0)),"OK","MANQUANT")</f>
        <v>OK</v>
      </c>
    </row>
    <row r="19" spans="1:12">
      <c r="A19">
        <f t="shared" si="2"/>
        <v>18</v>
      </c>
      <c r="B19">
        <v>3</v>
      </c>
      <c r="C19">
        <f>IFERROR(_xlfn.XLOOKUP(I19,dim_produits!$C:$C,dim_produits!$A:$A,""),"")</f>
        <v>53</v>
      </c>
      <c r="D19">
        <v>2</v>
      </c>
      <c r="E19" s="12">
        <v>800</v>
      </c>
      <c r="F19" s="12">
        <f t="shared" si="0"/>
        <v>1600</v>
      </c>
      <c r="G19" s="12">
        <f>_xlfn.XLOOKUP(I19,dim_lignes_achat!$L:$L,dim_lignes_achat!$H:$H,"Nicht gefunden",0)</f>
        <v>600</v>
      </c>
      <c r="H19" s="12">
        <f t="shared" si="1"/>
        <v>1200</v>
      </c>
      <c r="I19" t="s">
        <v>370</v>
      </c>
      <c r="L19" t="str">
        <f>IF(ISNUMBER(MATCH(I19,dim_produits!$C:$C,0)),"OK","MANQUANT")</f>
        <v>OK</v>
      </c>
    </row>
    <row r="20" spans="1:12">
      <c r="A20">
        <f t="shared" si="2"/>
        <v>19</v>
      </c>
      <c r="B20">
        <v>3</v>
      </c>
      <c r="C20">
        <f>IFERROR(_xlfn.XLOOKUP(I20,dim_produits!$C:$C,dim_produits!$A:$A,""),"")</f>
        <v>9</v>
      </c>
      <c r="D20">
        <v>4</v>
      </c>
      <c r="E20" s="12">
        <v>750</v>
      </c>
      <c r="F20" s="12">
        <f t="shared" si="0"/>
        <v>3000</v>
      </c>
      <c r="G20" s="12">
        <f>_xlfn.XLOOKUP(I20,dim_lignes_achat!$L:$L,dim_lignes_achat!$H:$H,"Nicht gefunden",0)</f>
        <v>650</v>
      </c>
      <c r="H20" s="12">
        <f t="shared" si="1"/>
        <v>2600</v>
      </c>
      <c r="I20" t="s">
        <v>222</v>
      </c>
      <c r="L20" t="str">
        <f>IF(ISNUMBER(MATCH(I20,dim_produits!$C:$C,0)),"OK","MANQUANT")</f>
        <v>OK</v>
      </c>
    </row>
    <row r="21" spans="1:12">
      <c r="A21">
        <f t="shared" si="2"/>
        <v>20</v>
      </c>
      <c r="B21">
        <v>3</v>
      </c>
      <c r="C21">
        <f>IFERROR(_xlfn.XLOOKUP(I21,dim_produits!$C:$C,dim_produits!$A:$A,""),"")</f>
        <v>33</v>
      </c>
      <c r="D21">
        <v>1</v>
      </c>
      <c r="E21" s="12">
        <v>400</v>
      </c>
      <c r="F21" s="12">
        <f t="shared" si="0"/>
        <v>400</v>
      </c>
      <c r="G21" s="12">
        <f>_xlfn.XLOOKUP(I21,dim_lignes_achat!$L:$L,dim_lignes_achat!$H:$H,"Nicht gefunden",0)</f>
        <v>225</v>
      </c>
      <c r="H21" s="12">
        <f t="shared" si="1"/>
        <v>225</v>
      </c>
      <c r="I21" t="s">
        <v>212</v>
      </c>
      <c r="L21" t="str">
        <f>IF(ISNUMBER(MATCH(I21,dim_produits!$C:$C,0)),"OK","MANQUANT")</f>
        <v>OK</v>
      </c>
    </row>
    <row r="22" spans="1:12">
      <c r="A22">
        <f t="shared" si="2"/>
        <v>21</v>
      </c>
      <c r="B22">
        <v>3</v>
      </c>
      <c r="C22">
        <f>IFERROR(_xlfn.XLOOKUP(I22,dim_produits!$C:$C,dim_produits!$A:$A,""),"")</f>
        <v>54</v>
      </c>
      <c r="D22">
        <v>2</v>
      </c>
      <c r="E22" s="12">
        <v>800</v>
      </c>
      <c r="F22" s="12">
        <f t="shared" si="0"/>
        <v>1600</v>
      </c>
      <c r="G22" s="12">
        <f>_xlfn.XLOOKUP(I22,dim_lignes_achat!$L:$L,dim_lignes_achat!$H:$H,"Nicht gefunden",0)</f>
        <v>595.83333333333337</v>
      </c>
      <c r="H22" s="12">
        <f t="shared" si="1"/>
        <v>1191.6666666666667</v>
      </c>
      <c r="I22" t="s">
        <v>235</v>
      </c>
      <c r="L22" t="str">
        <f>IF(ISNUMBER(MATCH(I22,dim_produits!$C:$C,0)),"OK","MANQUANT")</f>
        <v>OK</v>
      </c>
    </row>
    <row r="23" spans="1:12">
      <c r="A23">
        <f t="shared" si="2"/>
        <v>22</v>
      </c>
      <c r="B23">
        <v>3</v>
      </c>
      <c r="C23">
        <f>IFERROR(_xlfn.XLOOKUP(I23,dim_produits!$C:$C,dim_produits!$A:$A,""),"")</f>
        <v>72</v>
      </c>
      <c r="D23">
        <v>1</v>
      </c>
      <c r="E23" s="12">
        <v>500</v>
      </c>
      <c r="F23" s="12">
        <f t="shared" si="0"/>
        <v>500</v>
      </c>
      <c r="G23" s="12">
        <f>_xlfn.XLOOKUP(I23,dim_lignes_achat!$L:$L,dim_lignes_achat!$H:$H,"Nicht gefunden",0)</f>
        <v>416.66666666666669</v>
      </c>
      <c r="H23" s="12">
        <f t="shared" si="1"/>
        <v>416.66666666666669</v>
      </c>
      <c r="I23" t="s">
        <v>195</v>
      </c>
      <c r="L23" t="str">
        <f>IF(ISNUMBER(MATCH(I23,dim_produits!$C:$C,0)),"OK","MANQUANT")</f>
        <v>OK</v>
      </c>
    </row>
    <row r="24" spans="1:12">
      <c r="A24">
        <f t="shared" si="2"/>
        <v>23</v>
      </c>
      <c r="B24">
        <v>3</v>
      </c>
      <c r="C24">
        <f>IFERROR(_xlfn.XLOOKUP(I24,dim_produits!$C:$C,dim_produits!$A:$A,""),"")</f>
        <v>17</v>
      </c>
      <c r="D24">
        <v>1</v>
      </c>
      <c r="E24" s="12">
        <v>600</v>
      </c>
      <c r="F24" s="12">
        <f t="shared" si="0"/>
        <v>600</v>
      </c>
      <c r="G24" s="12">
        <f>_xlfn.XLOOKUP(I24,dim_lignes_achat!$L:$L,dim_lignes_achat!$H:$H,"Nicht gefunden",0)</f>
        <v>450</v>
      </c>
      <c r="H24" s="12">
        <f t="shared" si="1"/>
        <v>450</v>
      </c>
      <c r="I24" t="s">
        <v>225</v>
      </c>
      <c r="L24" t="str">
        <f>IF(ISNUMBER(MATCH(I24,dim_produits!$C:$C,0)),"OK","MANQUANT")</f>
        <v>OK</v>
      </c>
    </row>
    <row r="25" spans="1:12">
      <c r="A25">
        <f t="shared" si="2"/>
        <v>24</v>
      </c>
      <c r="B25">
        <v>3</v>
      </c>
      <c r="C25">
        <f>IFERROR(_xlfn.XLOOKUP(I25,dim_produits!$C:$C,dim_produits!$A:$A,""),"")</f>
        <v>11</v>
      </c>
      <c r="D25">
        <v>1</v>
      </c>
      <c r="E25" s="12">
        <v>750</v>
      </c>
      <c r="F25" s="12">
        <f t="shared" si="0"/>
        <v>750</v>
      </c>
      <c r="G25" s="12">
        <f>_xlfn.XLOOKUP(I25,dim_lignes_achat!$L:$L,dim_lignes_achat!$H:$H,"Nicht gefunden",0)</f>
        <v>650</v>
      </c>
      <c r="H25" s="12">
        <f t="shared" si="1"/>
        <v>650</v>
      </c>
      <c r="I25" t="s">
        <v>223</v>
      </c>
      <c r="L25" t="str">
        <f>IF(ISNUMBER(MATCH(I25,dim_produits!$C:$C,0)),"OK","MANQUANT")</f>
        <v>OK</v>
      </c>
    </row>
    <row r="26" spans="1:12">
      <c r="A26">
        <f t="shared" si="2"/>
        <v>25</v>
      </c>
      <c r="B26">
        <v>3</v>
      </c>
      <c r="C26">
        <f>IFERROR(_xlfn.XLOOKUP(I26,dim_produits!$C:$C,dim_produits!$A:$A,""),"")</f>
        <v>5</v>
      </c>
      <c r="D26">
        <v>1</v>
      </c>
      <c r="E26" s="12">
        <v>500</v>
      </c>
      <c r="F26" s="12">
        <f t="shared" si="0"/>
        <v>500</v>
      </c>
      <c r="G26" s="12">
        <f>_xlfn.XLOOKUP(I26,dim_lignes_achat!$L:$L,dim_lignes_achat!$H:$H,"Nicht gefunden",0)</f>
        <v>199.99799999999999</v>
      </c>
      <c r="H26" s="12">
        <f t="shared" si="1"/>
        <v>199.99799999999999</v>
      </c>
      <c r="I26" t="s">
        <v>197</v>
      </c>
      <c r="L26" t="str">
        <f>IF(ISNUMBER(MATCH(I26,dim_produits!$C:$C,0)),"OK","MANQUANT")</f>
        <v>OK</v>
      </c>
    </row>
    <row r="27" spans="1:12">
      <c r="A27">
        <f t="shared" si="2"/>
        <v>26</v>
      </c>
      <c r="B27">
        <v>3</v>
      </c>
      <c r="C27">
        <f>IFERROR(_xlfn.XLOOKUP(I27,dim_produits!$C:$C,dim_produits!$A:$A,""),"")</f>
        <v>52</v>
      </c>
      <c r="D27">
        <v>1</v>
      </c>
      <c r="E27" s="12">
        <v>600</v>
      </c>
      <c r="F27" s="12">
        <f t="shared" si="0"/>
        <v>600</v>
      </c>
      <c r="G27" s="12">
        <f>_xlfn.XLOOKUP(I27,dim_lignes_achat!$L:$L,dim_lignes_achat!$H:$H,"Nicht gefunden",0)</f>
        <v>470.83333333333331</v>
      </c>
      <c r="H27" s="12">
        <f t="shared" si="1"/>
        <v>470.83333333333331</v>
      </c>
      <c r="I27" t="s">
        <v>237</v>
      </c>
      <c r="L27" t="str">
        <f>IF(ISNUMBER(MATCH(I27,dim_produits!$C:$C,0)),"OK","MANQUANT")</f>
        <v>OK</v>
      </c>
    </row>
    <row r="28" spans="1:12">
      <c r="A28">
        <f t="shared" si="2"/>
        <v>27</v>
      </c>
      <c r="B28">
        <v>4</v>
      </c>
      <c r="C28">
        <f>IFERROR(_xlfn.XLOOKUP(I28,dim_produits!$C:$C,dim_produits!$A:$A,""),"")</f>
        <v>56</v>
      </c>
      <c r="D28">
        <v>1</v>
      </c>
      <c r="E28" s="12">
        <v>900</v>
      </c>
      <c r="F28" s="12">
        <f t="shared" si="0"/>
        <v>900</v>
      </c>
      <c r="G28" s="12">
        <f>_xlfn.XLOOKUP(I28,dim_lignes_achat!$L:$L,dim_lignes_achat!$H:$H,"Nicht gefunden",0)</f>
        <v>650</v>
      </c>
      <c r="H28" s="12">
        <f t="shared" si="1"/>
        <v>650</v>
      </c>
      <c r="I28" t="s">
        <v>238</v>
      </c>
      <c r="L28" t="str">
        <f>IF(ISNUMBER(MATCH(I28,dim_produits!$C:$C,0)),"OK","MANQUANT")</f>
        <v>OK</v>
      </c>
    </row>
    <row r="29" spans="1:12">
      <c r="A29">
        <f t="shared" si="2"/>
        <v>28</v>
      </c>
      <c r="B29">
        <v>4</v>
      </c>
      <c r="C29">
        <f>IFERROR(_xlfn.XLOOKUP(I29,dim_produits!$C:$C,dim_produits!$A:$A,""),"")</f>
        <v>17</v>
      </c>
      <c r="D29">
        <v>5</v>
      </c>
      <c r="E29" s="12">
        <v>600</v>
      </c>
      <c r="F29" s="12">
        <f t="shared" si="0"/>
        <v>3000</v>
      </c>
      <c r="G29" s="12">
        <f>_xlfn.XLOOKUP(I29,dim_lignes_achat!$L:$L,dim_lignes_achat!$H:$H,"Nicht gefunden",0)</f>
        <v>450</v>
      </c>
      <c r="H29" s="12">
        <f t="shared" si="1"/>
        <v>2250</v>
      </c>
      <c r="I29" t="s">
        <v>225</v>
      </c>
      <c r="L29" t="str">
        <f>IF(ISNUMBER(MATCH(I29,dim_produits!$C:$C,0)),"OK","MANQUANT")</f>
        <v>OK</v>
      </c>
    </row>
    <row r="30" spans="1:12">
      <c r="A30">
        <f t="shared" si="2"/>
        <v>29</v>
      </c>
      <c r="B30">
        <v>4</v>
      </c>
      <c r="C30">
        <f>IFERROR(_xlfn.XLOOKUP(I30,dim_produits!$C:$C,dim_produits!$A:$A,""),"")</f>
        <v>9</v>
      </c>
      <c r="D30">
        <v>4</v>
      </c>
      <c r="E30" s="12">
        <v>750</v>
      </c>
      <c r="F30" s="12">
        <f t="shared" si="0"/>
        <v>3000</v>
      </c>
      <c r="G30" s="12">
        <f>_xlfn.XLOOKUP(I30,dim_lignes_achat!$L:$L,dim_lignes_achat!$H:$H,"Nicht gefunden",0)</f>
        <v>650</v>
      </c>
      <c r="H30" s="12">
        <f t="shared" si="1"/>
        <v>2600</v>
      </c>
      <c r="I30" t="s">
        <v>222</v>
      </c>
      <c r="L30" t="str">
        <f>IF(ISNUMBER(MATCH(I30,dim_produits!$C:$C,0)),"OK","MANQUANT")</f>
        <v>OK</v>
      </c>
    </row>
    <row r="31" spans="1:12">
      <c r="A31">
        <f t="shared" si="2"/>
        <v>30</v>
      </c>
      <c r="B31">
        <v>4</v>
      </c>
      <c r="C31">
        <f>IFERROR(_xlfn.XLOOKUP(I31,dim_produits!$C:$C,dim_produits!$A:$A,""),"")</f>
        <v>54</v>
      </c>
      <c r="D31">
        <v>2</v>
      </c>
      <c r="E31" s="12">
        <v>800</v>
      </c>
      <c r="F31" s="12">
        <f t="shared" si="0"/>
        <v>1600</v>
      </c>
      <c r="G31" s="12">
        <f>_xlfn.XLOOKUP(I31,dim_lignes_achat!$L:$L,dim_lignes_achat!$H:$H,"Nicht gefunden",0)</f>
        <v>595.83333333333337</v>
      </c>
      <c r="H31" s="12">
        <f t="shared" si="1"/>
        <v>1191.6666666666667</v>
      </c>
      <c r="I31" t="s">
        <v>235</v>
      </c>
      <c r="L31" t="str">
        <f>IF(ISNUMBER(MATCH(I31,dim_produits!$C:$C,0)),"OK","MANQUANT")</f>
        <v>OK</v>
      </c>
    </row>
    <row r="32" spans="1:12">
      <c r="A32">
        <f t="shared" si="2"/>
        <v>31</v>
      </c>
      <c r="B32">
        <v>4</v>
      </c>
      <c r="C32">
        <f>IFERROR(_xlfn.XLOOKUP(I32,dim_produits!$C:$C,dim_produits!$A:$A,""),"")</f>
        <v>72</v>
      </c>
      <c r="D32">
        <v>1</v>
      </c>
      <c r="E32" s="12">
        <v>500</v>
      </c>
      <c r="F32" s="12">
        <f t="shared" si="0"/>
        <v>500</v>
      </c>
      <c r="G32" s="12">
        <f>_xlfn.XLOOKUP(I32,dim_lignes_achat!$L:$L,dim_lignes_achat!$H:$H,"Nicht gefunden",0)</f>
        <v>416.66666666666669</v>
      </c>
      <c r="H32" s="12">
        <f t="shared" si="1"/>
        <v>416.66666666666669</v>
      </c>
      <c r="I32" t="s">
        <v>195</v>
      </c>
      <c r="L32" t="str">
        <f>IF(ISNUMBER(MATCH(I32,dim_produits!$C:$C,0)),"OK","MANQUANT")</f>
        <v>OK</v>
      </c>
    </row>
    <row r="33" spans="1:12">
      <c r="A33">
        <f t="shared" si="2"/>
        <v>32</v>
      </c>
      <c r="B33">
        <v>4</v>
      </c>
      <c r="C33">
        <f>IFERROR(_xlfn.XLOOKUP(I33,dim_produits!$C:$C,dim_produits!$A:$A,""),"")</f>
        <v>52</v>
      </c>
      <c r="D33">
        <v>1</v>
      </c>
      <c r="E33" s="12">
        <v>600</v>
      </c>
      <c r="F33" s="12">
        <f t="shared" si="0"/>
        <v>600</v>
      </c>
      <c r="G33" s="12">
        <f>_xlfn.XLOOKUP(I33,dim_lignes_achat!$L:$L,dim_lignes_achat!$H:$H,"Nicht gefunden",0)</f>
        <v>470.83333333333331</v>
      </c>
      <c r="H33" s="12">
        <f t="shared" si="1"/>
        <v>470.83333333333331</v>
      </c>
      <c r="I33" t="s">
        <v>237</v>
      </c>
      <c r="L33" t="str">
        <f>IF(ISNUMBER(MATCH(I33,dim_produits!$C:$C,0)),"OK","MANQUANT")</f>
        <v>OK</v>
      </c>
    </row>
    <row r="34" spans="1:12">
      <c r="A34">
        <f t="shared" si="2"/>
        <v>33</v>
      </c>
      <c r="B34">
        <v>5</v>
      </c>
      <c r="C34">
        <f>IFERROR(_xlfn.XLOOKUP(I34,dim_produits!$C:$C,dim_produits!$A:$A,""),"")</f>
        <v>9</v>
      </c>
      <c r="D34">
        <v>18</v>
      </c>
      <c r="E34" s="12">
        <v>750</v>
      </c>
      <c r="F34" s="12">
        <f t="shared" si="0"/>
        <v>13500</v>
      </c>
      <c r="G34" s="12">
        <f>_xlfn.XLOOKUP(I34,dim_lignes_achat!$L:$L,dim_lignes_achat!$H:$H,"Nicht gefunden",0)</f>
        <v>650</v>
      </c>
      <c r="H34" s="12">
        <f t="shared" si="1"/>
        <v>11700</v>
      </c>
      <c r="I34" t="s">
        <v>222</v>
      </c>
      <c r="L34" t="str">
        <f>IF(ISNUMBER(MATCH(I34,dim_produits!$C:$C,0)),"OK","MANQUANT")</f>
        <v>OK</v>
      </c>
    </row>
    <row r="35" spans="1:12">
      <c r="A35">
        <f t="shared" si="2"/>
        <v>34</v>
      </c>
      <c r="B35">
        <v>5</v>
      </c>
      <c r="C35">
        <f>IFERROR(_xlfn.XLOOKUP(I35,dim_produits!$C:$C,dim_produits!$A:$A,""),"")</f>
        <v>16</v>
      </c>
      <c r="D35">
        <v>13</v>
      </c>
      <c r="E35" s="12">
        <v>750</v>
      </c>
      <c r="F35" s="12">
        <f t="shared" si="0"/>
        <v>9750</v>
      </c>
      <c r="G35" s="12">
        <f>_xlfn.XLOOKUP(I35,dim_lignes_achat!$L:$L,dim_lignes_achat!$H:$H,"Nicht gefunden",0)</f>
        <v>650</v>
      </c>
      <c r="H35" s="12">
        <f t="shared" si="1"/>
        <v>8450</v>
      </c>
      <c r="I35" t="s">
        <v>419</v>
      </c>
      <c r="L35" t="str">
        <f>IF(ISNUMBER(MATCH(I35,dim_produits!$C:$C,0)),"OK","MANQUANT")</f>
        <v>OK</v>
      </c>
    </row>
    <row r="36" spans="1:12">
      <c r="A36">
        <f t="shared" si="2"/>
        <v>35</v>
      </c>
      <c r="B36">
        <v>5</v>
      </c>
      <c r="C36">
        <f>IFERROR(_xlfn.XLOOKUP(I36,dim_produits!$C:$C,dim_produits!$A:$A,""),"")</f>
        <v>17</v>
      </c>
      <c r="D36">
        <v>8</v>
      </c>
      <c r="E36" s="12">
        <v>600</v>
      </c>
      <c r="F36" s="12">
        <f t="shared" si="0"/>
        <v>4800</v>
      </c>
      <c r="G36" s="12">
        <f>_xlfn.XLOOKUP(I36,dim_lignes_achat!$L:$L,dim_lignes_achat!$H:$H,"Nicht gefunden",0)</f>
        <v>450</v>
      </c>
      <c r="H36" s="12">
        <f t="shared" si="1"/>
        <v>3600</v>
      </c>
      <c r="I36" t="s">
        <v>225</v>
      </c>
      <c r="L36" t="str">
        <f>IF(ISNUMBER(MATCH(I36,dim_produits!$C:$C,0)),"OK","MANQUANT")</f>
        <v>OK</v>
      </c>
    </row>
    <row r="37" spans="1:12">
      <c r="A37">
        <f t="shared" si="2"/>
        <v>36</v>
      </c>
      <c r="B37">
        <v>5</v>
      </c>
      <c r="C37">
        <f>IFERROR(_xlfn.XLOOKUP(I37,dim_produits!$C:$C,dim_produits!$A:$A,""),"")</f>
        <v>11</v>
      </c>
      <c r="D37">
        <v>16</v>
      </c>
      <c r="E37" s="12">
        <v>750</v>
      </c>
      <c r="F37" s="12">
        <f t="shared" si="0"/>
        <v>12000</v>
      </c>
      <c r="G37" s="12">
        <f>_xlfn.XLOOKUP(I37,dim_lignes_achat!$L:$L,dim_lignes_achat!$H:$H,"Nicht gefunden",0)</f>
        <v>650</v>
      </c>
      <c r="H37" s="12">
        <f t="shared" si="1"/>
        <v>10400</v>
      </c>
      <c r="I37" t="s">
        <v>223</v>
      </c>
      <c r="L37" t="str">
        <f>IF(ISNUMBER(MATCH(I37,dim_produits!$C:$C,0)),"OK","MANQUANT")</f>
        <v>OK</v>
      </c>
    </row>
    <row r="38" spans="1:12">
      <c r="A38">
        <f t="shared" si="2"/>
        <v>37</v>
      </c>
      <c r="B38">
        <v>5</v>
      </c>
      <c r="C38">
        <f>IFERROR(_xlfn.XLOOKUP(I38,dim_produits!$C:$C,dim_produits!$A:$A,""),"")</f>
        <v>18</v>
      </c>
      <c r="D38">
        <v>5</v>
      </c>
      <c r="E38" s="12">
        <v>750</v>
      </c>
      <c r="F38" s="12">
        <f t="shared" si="0"/>
        <v>3750</v>
      </c>
      <c r="G38" s="12">
        <f>_xlfn.XLOOKUP(I38,dim_lignes_achat!$L:$L,dim_lignes_achat!$H:$H,"Nicht gefunden",0)</f>
        <v>650</v>
      </c>
      <c r="H38" s="12">
        <f t="shared" si="1"/>
        <v>3250</v>
      </c>
      <c r="I38" t="s">
        <v>228</v>
      </c>
      <c r="L38" t="str">
        <f>IF(ISNUMBER(MATCH(I38,dim_produits!$C:$C,0)),"OK","MANQUANT")</f>
        <v>OK</v>
      </c>
    </row>
    <row r="39" spans="1:12">
      <c r="A39">
        <f t="shared" si="2"/>
        <v>38</v>
      </c>
      <c r="B39">
        <v>5</v>
      </c>
      <c r="C39">
        <f>IFERROR(_xlfn.XLOOKUP(I39,dim_produits!$C:$C,dim_produits!$A:$A,""),"")</f>
        <v>14</v>
      </c>
      <c r="D39">
        <v>1</v>
      </c>
      <c r="E39" s="12">
        <v>750</v>
      </c>
      <c r="F39" s="12">
        <f t="shared" si="0"/>
        <v>750</v>
      </c>
      <c r="G39" s="12">
        <f>_xlfn.XLOOKUP(I39,dim_lignes_achat!$L:$L,dim_lignes_achat!$H:$H,"Nicht gefunden",0)</f>
        <v>554.16666666666663</v>
      </c>
      <c r="H39" s="12">
        <f t="shared" si="1"/>
        <v>554.16666666666663</v>
      </c>
      <c r="I39" t="s">
        <v>373</v>
      </c>
      <c r="L39" t="str">
        <f>IF(ISNUMBER(MATCH(I39,dim_produits!$C:$C,0)),"OK","MANQUANT")</f>
        <v>OK</v>
      </c>
    </row>
    <row r="40" spans="1:12">
      <c r="A40">
        <f t="shared" si="2"/>
        <v>39</v>
      </c>
      <c r="B40">
        <v>5</v>
      </c>
      <c r="C40">
        <f>IFERROR(_xlfn.XLOOKUP(I40,dim_produits!$C:$C,dim_produits!$A:$A,""),"")</f>
        <v>33</v>
      </c>
      <c r="D40">
        <v>3</v>
      </c>
      <c r="E40" s="12">
        <v>400</v>
      </c>
      <c r="F40" s="12">
        <f t="shared" si="0"/>
        <v>1200</v>
      </c>
      <c r="G40" s="12">
        <f>_xlfn.XLOOKUP(I40,dim_lignes_achat!$L:$L,dim_lignes_achat!$H:$H,"Nicht gefunden",0)</f>
        <v>225</v>
      </c>
      <c r="H40" s="12">
        <f t="shared" si="1"/>
        <v>675</v>
      </c>
      <c r="I40" t="s">
        <v>212</v>
      </c>
      <c r="L40" t="str">
        <f>IF(ISNUMBER(MATCH(I40,dim_produits!$C:$C,0)),"OK","MANQUANT")</f>
        <v>OK</v>
      </c>
    </row>
    <row r="41" spans="1:12">
      <c r="A41">
        <f t="shared" si="2"/>
        <v>40</v>
      </c>
      <c r="B41">
        <v>5</v>
      </c>
      <c r="C41">
        <f>IFERROR(_xlfn.XLOOKUP(I41,dim_produits!$C:$C,dim_produits!$A:$A,""),"")</f>
        <v>54</v>
      </c>
      <c r="D41">
        <v>3</v>
      </c>
      <c r="E41" s="12">
        <v>800</v>
      </c>
      <c r="F41" s="12">
        <f t="shared" si="0"/>
        <v>2400</v>
      </c>
      <c r="G41" s="12">
        <f>_xlfn.XLOOKUP(I41,dim_lignes_achat!$L:$L,dim_lignes_achat!$H:$H,"Nicht gefunden",0)</f>
        <v>595.83333333333337</v>
      </c>
      <c r="H41" s="12">
        <f t="shared" si="1"/>
        <v>1787.5</v>
      </c>
      <c r="I41" t="s">
        <v>235</v>
      </c>
      <c r="L41" t="str">
        <f>IF(ISNUMBER(MATCH(I41,dim_produits!$C:$C,0)),"OK","MANQUANT")</f>
        <v>OK</v>
      </c>
    </row>
    <row r="42" spans="1:12">
      <c r="A42">
        <f t="shared" si="2"/>
        <v>41</v>
      </c>
      <c r="B42">
        <v>5</v>
      </c>
      <c r="C42">
        <f>IFERROR(_xlfn.XLOOKUP(I42,dim_produits!$C:$C,dim_produits!$A:$A,""),"")</f>
        <v>74</v>
      </c>
      <c r="D42">
        <v>3</v>
      </c>
      <c r="E42" s="12">
        <v>800</v>
      </c>
      <c r="F42" s="12">
        <f t="shared" si="0"/>
        <v>2400</v>
      </c>
      <c r="G42" s="12">
        <f>_xlfn.XLOOKUP(I42,dim_lignes_achat!$L:$L,dim_lignes_achat!$H:$H,"Nicht gefunden",0)</f>
        <v>700</v>
      </c>
      <c r="H42" s="12">
        <f t="shared" si="1"/>
        <v>2100</v>
      </c>
      <c r="I42" t="s">
        <v>198</v>
      </c>
      <c r="L42" t="str">
        <f>IF(ISNUMBER(MATCH(I42,dim_produits!$C:$C,0)),"OK","MANQUANT")</f>
        <v>OK</v>
      </c>
    </row>
    <row r="43" spans="1:12">
      <c r="A43">
        <f t="shared" si="2"/>
        <v>42</v>
      </c>
      <c r="B43">
        <v>5</v>
      </c>
      <c r="C43">
        <f>IFERROR(_xlfn.XLOOKUP(I43,dim_produits!$C:$C,dim_produits!$A:$A,""),"")</f>
        <v>5</v>
      </c>
      <c r="D43">
        <v>3</v>
      </c>
      <c r="E43" s="12">
        <v>500</v>
      </c>
      <c r="F43" s="12">
        <f t="shared" si="0"/>
        <v>1500</v>
      </c>
      <c r="G43" s="12">
        <f>_xlfn.XLOOKUP(I43,dim_lignes_achat!$L:$L,dim_lignes_achat!$H:$H,"Nicht gefunden",0)</f>
        <v>199.99799999999999</v>
      </c>
      <c r="H43" s="12">
        <f t="shared" si="1"/>
        <v>599.99399999999991</v>
      </c>
      <c r="I43" t="s">
        <v>197</v>
      </c>
      <c r="L43" t="str">
        <f>IF(ISNUMBER(MATCH(I43,dim_produits!$C:$C,0)),"OK","MANQUANT")</f>
        <v>OK</v>
      </c>
    </row>
    <row r="44" spans="1:12">
      <c r="A44">
        <f t="shared" si="2"/>
        <v>43</v>
      </c>
      <c r="B44">
        <v>5</v>
      </c>
      <c r="C44">
        <f>IFERROR(_xlfn.XLOOKUP(I44,dim_produits!$C:$C,dim_produits!$A:$A,""),"")</f>
        <v>56</v>
      </c>
      <c r="D44">
        <v>1</v>
      </c>
      <c r="E44" s="12">
        <v>900</v>
      </c>
      <c r="F44" s="12">
        <f t="shared" si="0"/>
        <v>900</v>
      </c>
      <c r="G44" s="12">
        <f>_xlfn.XLOOKUP(I44,dim_lignes_achat!$L:$L,dim_lignes_achat!$H:$H,"Nicht gefunden",0)</f>
        <v>650</v>
      </c>
      <c r="H44" s="12">
        <f t="shared" si="1"/>
        <v>650</v>
      </c>
      <c r="I44" t="s">
        <v>238</v>
      </c>
      <c r="L44" t="str">
        <f>IF(ISNUMBER(MATCH(I44,dim_produits!$C:$C,0)),"OK","MANQUANT")</f>
        <v>OK</v>
      </c>
    </row>
    <row r="45" spans="1:12">
      <c r="A45">
        <f t="shared" si="2"/>
        <v>44</v>
      </c>
      <c r="B45">
        <v>5</v>
      </c>
      <c r="C45">
        <f>IFERROR(_xlfn.XLOOKUP(I45,dim_produits!$C:$C,dim_produits!$A:$A,""),"")</f>
        <v>72</v>
      </c>
      <c r="D45">
        <v>7</v>
      </c>
      <c r="E45" s="12">
        <v>500</v>
      </c>
      <c r="F45" s="12">
        <f t="shared" si="0"/>
        <v>3500</v>
      </c>
      <c r="G45" s="12">
        <f>_xlfn.XLOOKUP(I45,dim_lignes_achat!$L:$L,dim_lignes_achat!$H:$H,"Nicht gefunden",0)</f>
        <v>416.66666666666669</v>
      </c>
      <c r="H45" s="12">
        <f t="shared" si="1"/>
        <v>2916.666666666667</v>
      </c>
      <c r="I45" t="s">
        <v>195</v>
      </c>
      <c r="L45" t="str">
        <f>IF(ISNUMBER(MATCH(I45,dim_produits!$C:$C,0)),"OK","MANQUANT")</f>
        <v>OK</v>
      </c>
    </row>
    <row r="46" spans="1:12">
      <c r="A46">
        <f t="shared" si="2"/>
        <v>45</v>
      </c>
      <c r="B46">
        <v>5</v>
      </c>
      <c r="C46">
        <f>IFERROR(_xlfn.XLOOKUP(I46,dim_produits!$C:$C,dim_produits!$A:$A,""),"")</f>
        <v>10</v>
      </c>
      <c r="D46">
        <v>11</v>
      </c>
      <c r="E46" s="12">
        <v>750</v>
      </c>
      <c r="F46" s="12">
        <f t="shared" si="0"/>
        <v>8250</v>
      </c>
      <c r="G46" s="12">
        <f>_xlfn.XLOOKUP(I46,dim_lignes_achat!$L:$L,dim_lignes_achat!$H:$H,"Nicht gefunden",0)</f>
        <v>595.83333333333337</v>
      </c>
      <c r="H46" s="12">
        <f t="shared" si="1"/>
        <v>6554.166666666667</v>
      </c>
      <c r="I46" t="s">
        <v>227</v>
      </c>
      <c r="L46" t="str">
        <f>IF(ISNUMBER(MATCH(I46,dim_produits!$C:$C,0)),"OK","MANQUANT")</f>
        <v>OK</v>
      </c>
    </row>
    <row r="47" spans="1:12">
      <c r="A47">
        <f t="shared" si="2"/>
        <v>46</v>
      </c>
      <c r="B47">
        <v>5</v>
      </c>
      <c r="C47">
        <f>IFERROR(_xlfn.XLOOKUP(I47,dim_produits!$C:$C,dim_produits!$A:$A,""),"")</f>
        <v>89</v>
      </c>
      <c r="D47">
        <v>1</v>
      </c>
      <c r="E47" s="12">
        <v>750</v>
      </c>
      <c r="F47" s="12">
        <f t="shared" si="0"/>
        <v>750</v>
      </c>
      <c r="G47" s="12">
        <f>_xlfn.XLOOKUP(I47,dim_lignes_achat!$L:$L,dim_lignes_achat!$H:$H,"Nicht gefunden",0)</f>
        <v>516.66666666666663</v>
      </c>
      <c r="H47" s="12">
        <f t="shared" si="1"/>
        <v>516.66666666666663</v>
      </c>
      <c r="I47" t="s">
        <v>366</v>
      </c>
      <c r="L47" t="str">
        <f>IF(ISNUMBER(MATCH(I47,dim_produits!$C:$C,0)),"OK","MANQUANT")</f>
        <v>OK</v>
      </c>
    </row>
    <row r="48" spans="1:12">
      <c r="A48">
        <f t="shared" si="2"/>
        <v>47</v>
      </c>
      <c r="B48">
        <v>5</v>
      </c>
      <c r="C48">
        <f>IFERROR(_xlfn.XLOOKUP(I48,dim_produits!$C:$C,dim_produits!$A:$A,""),"")</f>
        <v>52</v>
      </c>
      <c r="D48">
        <v>7</v>
      </c>
      <c r="E48" s="12">
        <v>600</v>
      </c>
      <c r="F48" s="12">
        <f t="shared" si="0"/>
        <v>4200</v>
      </c>
      <c r="G48" s="12">
        <f>_xlfn.XLOOKUP(I48,dim_lignes_achat!$L:$L,dim_lignes_achat!$H:$H,"Nicht gefunden",0)</f>
        <v>470.83333333333331</v>
      </c>
      <c r="H48" s="12">
        <f t="shared" ref="H48" si="3">IF(ISNUMBER(G48),G48*D48,"")</f>
        <v>3295.833333333333</v>
      </c>
      <c r="I48" t="s">
        <v>237</v>
      </c>
      <c r="L48" t="str">
        <f>IF(ISNUMBER(MATCH(I48,dim_produits!$C:$C,0)),"OK","MANQUANT")</f>
        <v>OK</v>
      </c>
    </row>
    <row r="49" spans="1:12">
      <c r="A49">
        <f t="shared" si="2"/>
        <v>48</v>
      </c>
      <c r="B49">
        <v>5</v>
      </c>
      <c r="C49">
        <f>IFERROR(_xlfn.XLOOKUP(I49,dim_produits!$C:$C,dim_produits!$A:$A,""),"")</f>
        <v>53</v>
      </c>
      <c r="D49">
        <v>16</v>
      </c>
      <c r="E49" s="12">
        <v>800</v>
      </c>
      <c r="F49" s="12">
        <f t="shared" si="0"/>
        <v>12800</v>
      </c>
      <c r="G49" s="12">
        <f>_xlfn.XLOOKUP(I49,dim_lignes_achat!$L:$L,dim_lignes_achat!$H:$H,"Nicht gefunden",0)</f>
        <v>600</v>
      </c>
      <c r="H49" s="12">
        <f t="shared" si="1"/>
        <v>9600</v>
      </c>
      <c r="I49" t="s">
        <v>370</v>
      </c>
      <c r="L49" t="str">
        <f>IF(ISNUMBER(MATCH(I49,dim_produits!$C:$C,0)),"OK","MANQUANT")</f>
        <v>OK</v>
      </c>
    </row>
    <row r="50" spans="1:12">
      <c r="A50">
        <f t="shared" si="2"/>
        <v>49</v>
      </c>
      <c r="B50">
        <v>5</v>
      </c>
      <c r="C50">
        <f>IFERROR(_xlfn.XLOOKUP(I50,dim_produits!$C:$C,dim_produits!$A:$A,""),"")</f>
        <v>36</v>
      </c>
      <c r="D50">
        <v>1</v>
      </c>
      <c r="E50" s="12">
        <v>300</v>
      </c>
      <c r="F50" s="12">
        <f t="shared" si="0"/>
        <v>300</v>
      </c>
      <c r="G50" s="12">
        <f>_xlfn.XLOOKUP(I50,dim_lignes_achat!$L:$L,dim_lignes_achat!$H:$H,"Nicht gefunden",0)</f>
        <v>200</v>
      </c>
      <c r="H50" s="12">
        <f t="shared" si="1"/>
        <v>200</v>
      </c>
      <c r="I50" t="s">
        <v>215</v>
      </c>
      <c r="L50" t="str">
        <f>IF(ISNUMBER(MATCH(I50,dim_produits!$C:$C,0)),"OK","MANQUANT")</f>
        <v>OK</v>
      </c>
    </row>
    <row r="51" spans="1:12">
      <c r="A51">
        <f t="shared" si="2"/>
        <v>50</v>
      </c>
      <c r="B51">
        <v>6</v>
      </c>
      <c r="C51">
        <f>IFERROR(_xlfn.XLOOKUP(I51,dim_produits!$C:$C,dim_produits!$A:$A,""),"")</f>
        <v>9</v>
      </c>
      <c r="D51">
        <v>9</v>
      </c>
      <c r="E51" s="12">
        <v>750</v>
      </c>
      <c r="F51" s="12">
        <f t="shared" si="0"/>
        <v>6750</v>
      </c>
      <c r="G51" s="12">
        <f>_xlfn.XLOOKUP(I51,dim_lignes_achat!$L:$L,dim_lignes_achat!$H:$H,"Nicht gefunden",0)</f>
        <v>650</v>
      </c>
      <c r="H51" s="12">
        <f t="shared" si="1"/>
        <v>5850</v>
      </c>
      <c r="I51" t="s">
        <v>222</v>
      </c>
      <c r="L51" t="str">
        <f>IF(ISNUMBER(MATCH(I51,dim_produits!$C:$C,0)),"OK","MANQUANT")</f>
        <v>OK</v>
      </c>
    </row>
    <row r="52" spans="1:12">
      <c r="A52">
        <f t="shared" si="2"/>
        <v>51</v>
      </c>
      <c r="B52">
        <v>6</v>
      </c>
      <c r="C52">
        <f>IFERROR(_xlfn.XLOOKUP(I52,dim_produits!$C:$C,dim_produits!$A:$A,""),"")</f>
        <v>16</v>
      </c>
      <c r="D52">
        <v>5</v>
      </c>
      <c r="E52" s="12">
        <v>750</v>
      </c>
      <c r="F52" s="12">
        <f t="shared" si="0"/>
        <v>3750</v>
      </c>
      <c r="G52" s="12">
        <f>_xlfn.XLOOKUP(I52,dim_lignes_achat!$L:$L,dim_lignes_achat!$H:$H,"Nicht gefunden",0)</f>
        <v>650</v>
      </c>
      <c r="H52" s="12">
        <f t="shared" si="1"/>
        <v>3250</v>
      </c>
      <c r="I52" t="s">
        <v>419</v>
      </c>
      <c r="L52" t="str">
        <f>IF(ISNUMBER(MATCH(I52,dim_produits!$C:$C,0)),"OK","MANQUANT")</f>
        <v>OK</v>
      </c>
    </row>
    <row r="53" spans="1:12">
      <c r="A53">
        <f t="shared" si="2"/>
        <v>52</v>
      </c>
      <c r="B53">
        <v>6</v>
      </c>
      <c r="C53">
        <f>IFERROR(_xlfn.XLOOKUP(I53,dim_produits!$C:$C,dim_produits!$A:$A,""),"")</f>
        <v>17</v>
      </c>
      <c r="D53">
        <v>12</v>
      </c>
      <c r="E53" s="12">
        <v>600</v>
      </c>
      <c r="F53" s="12">
        <f t="shared" si="0"/>
        <v>7200</v>
      </c>
      <c r="G53" s="12">
        <f>_xlfn.XLOOKUP(I53,dim_lignes_achat!$L:$L,dim_lignes_achat!$H:$H,"Nicht gefunden",0)</f>
        <v>450</v>
      </c>
      <c r="H53" s="12">
        <f t="shared" si="1"/>
        <v>5400</v>
      </c>
      <c r="I53" t="s">
        <v>225</v>
      </c>
      <c r="L53" t="str">
        <f>IF(ISNUMBER(MATCH(I53,dim_produits!$C:$C,0)),"OK","MANQUANT")</f>
        <v>OK</v>
      </c>
    </row>
    <row r="54" spans="1:12">
      <c r="A54">
        <f t="shared" si="2"/>
        <v>53</v>
      </c>
      <c r="B54">
        <v>6</v>
      </c>
      <c r="C54">
        <f>IFERROR(_xlfn.XLOOKUP(I54,dim_produits!$C:$C,dim_produits!$A:$A,""),"")</f>
        <v>11</v>
      </c>
      <c r="D54">
        <v>1</v>
      </c>
      <c r="E54" s="12">
        <v>750</v>
      </c>
      <c r="F54" s="12">
        <f t="shared" si="0"/>
        <v>750</v>
      </c>
      <c r="G54" s="12">
        <f>_xlfn.XLOOKUP(I54,dim_lignes_achat!$L:$L,dim_lignes_achat!$H:$H,"Nicht gefunden",0)</f>
        <v>650</v>
      </c>
      <c r="H54" s="12">
        <f t="shared" si="1"/>
        <v>650</v>
      </c>
      <c r="I54" t="s">
        <v>223</v>
      </c>
      <c r="L54" t="str">
        <f>IF(ISNUMBER(MATCH(I54,dim_produits!$C:$C,0)),"OK","MANQUANT")</f>
        <v>OK</v>
      </c>
    </row>
    <row r="55" spans="1:12">
      <c r="A55">
        <f t="shared" si="2"/>
        <v>54</v>
      </c>
      <c r="B55">
        <v>6</v>
      </c>
      <c r="C55">
        <f>IFERROR(_xlfn.XLOOKUP(I55,dim_produits!$C:$C,dim_produits!$A:$A,""),"")</f>
        <v>18</v>
      </c>
      <c r="D55">
        <v>1</v>
      </c>
      <c r="E55" s="12">
        <v>750</v>
      </c>
      <c r="F55" s="12">
        <f t="shared" si="0"/>
        <v>750</v>
      </c>
      <c r="G55" s="12">
        <f>_xlfn.XLOOKUP(I55,dim_lignes_achat!$L:$L,dim_lignes_achat!$H:$H,"Nicht gefunden",0)</f>
        <v>650</v>
      </c>
      <c r="H55" s="12">
        <f t="shared" si="1"/>
        <v>650</v>
      </c>
      <c r="I55" t="s">
        <v>228</v>
      </c>
      <c r="L55" t="str">
        <f>IF(ISNUMBER(MATCH(I55,dim_produits!$C:$C,0)),"OK","MANQUANT")</f>
        <v>OK</v>
      </c>
    </row>
    <row r="56" spans="1:12">
      <c r="A56">
        <f t="shared" si="2"/>
        <v>55</v>
      </c>
      <c r="B56">
        <v>6</v>
      </c>
      <c r="C56">
        <f>IFERROR(_xlfn.XLOOKUP(I56,dim_produits!$C:$C,dim_produits!$A:$A,""),"")</f>
        <v>14</v>
      </c>
      <c r="D56">
        <v>6</v>
      </c>
      <c r="E56" s="12">
        <v>750</v>
      </c>
      <c r="F56" s="12">
        <f t="shared" si="0"/>
        <v>4500</v>
      </c>
      <c r="G56" s="12">
        <f>_xlfn.XLOOKUP(I56,dim_lignes_achat!$L:$L,dim_lignes_achat!$H:$H,"Nicht gefunden",0)</f>
        <v>554.16666666666663</v>
      </c>
      <c r="H56" s="12">
        <f t="shared" si="1"/>
        <v>3325</v>
      </c>
      <c r="I56" t="s">
        <v>373</v>
      </c>
      <c r="L56" t="str">
        <f>IF(ISNUMBER(MATCH(I56,dim_produits!$C:$C,0)),"OK","MANQUANT")</f>
        <v>OK</v>
      </c>
    </row>
    <row r="57" spans="1:12">
      <c r="A57">
        <f t="shared" si="2"/>
        <v>56</v>
      </c>
      <c r="B57">
        <v>6</v>
      </c>
      <c r="C57">
        <f>IFERROR(_xlfn.XLOOKUP(I57,dim_produits!$C:$C,dim_produits!$A:$A,""),"")</f>
        <v>54</v>
      </c>
      <c r="D57">
        <v>16</v>
      </c>
      <c r="E57" s="12">
        <v>800</v>
      </c>
      <c r="F57" s="12">
        <f t="shared" si="0"/>
        <v>12800</v>
      </c>
      <c r="G57" s="12">
        <f>_xlfn.XLOOKUP(I57,dim_lignes_achat!$L:$L,dim_lignes_achat!$H:$H,"Nicht gefunden",0)</f>
        <v>595.83333333333337</v>
      </c>
      <c r="H57" s="12">
        <f t="shared" si="1"/>
        <v>9533.3333333333339</v>
      </c>
      <c r="I57" t="s">
        <v>235</v>
      </c>
      <c r="L57" t="str">
        <f>IF(ISNUMBER(MATCH(I57,dim_produits!$C:$C,0)),"OK","MANQUANT")</f>
        <v>OK</v>
      </c>
    </row>
    <row r="58" spans="1:12">
      <c r="A58">
        <f t="shared" si="2"/>
        <v>57</v>
      </c>
      <c r="B58">
        <v>6</v>
      </c>
      <c r="C58">
        <f>IFERROR(_xlfn.XLOOKUP(I58,dim_produits!$C:$C,dim_produits!$A:$A,""),"")</f>
        <v>56</v>
      </c>
      <c r="D58">
        <v>1</v>
      </c>
      <c r="E58" s="12">
        <v>900</v>
      </c>
      <c r="F58" s="12">
        <f t="shared" si="0"/>
        <v>900</v>
      </c>
      <c r="G58" s="12">
        <f>_xlfn.XLOOKUP(I58,dim_lignes_achat!$L:$L,dim_lignes_achat!$H:$H,"Nicht gefunden",0)</f>
        <v>650</v>
      </c>
      <c r="H58" s="12">
        <f t="shared" si="1"/>
        <v>650</v>
      </c>
      <c r="I58" t="s">
        <v>238</v>
      </c>
      <c r="L58" t="str">
        <f>IF(ISNUMBER(MATCH(I58,dim_produits!$C:$C,0)),"OK","MANQUANT")</f>
        <v>OK</v>
      </c>
    </row>
    <row r="59" spans="1:12">
      <c r="A59">
        <f t="shared" si="2"/>
        <v>58</v>
      </c>
      <c r="B59">
        <v>6</v>
      </c>
      <c r="C59">
        <f>IFERROR(_xlfn.XLOOKUP(I59,dim_produits!$C:$C,dim_produits!$A:$A,""),"")</f>
        <v>53</v>
      </c>
      <c r="D59">
        <v>2</v>
      </c>
      <c r="E59" s="12">
        <v>800</v>
      </c>
      <c r="F59" s="12">
        <f t="shared" si="0"/>
        <v>1600</v>
      </c>
      <c r="G59" s="12">
        <f>_xlfn.XLOOKUP(I59,dim_lignes_achat!$L:$L,dim_lignes_achat!$H:$H,"Nicht gefunden",0)</f>
        <v>600</v>
      </c>
      <c r="H59" s="12">
        <f t="shared" si="1"/>
        <v>1200</v>
      </c>
      <c r="I59" t="s">
        <v>370</v>
      </c>
      <c r="L59" t="str">
        <f>IF(ISNUMBER(MATCH(I59,dim_produits!$C:$C,0)),"OK","MANQUANT")</f>
        <v>OK</v>
      </c>
    </row>
    <row r="60" spans="1:12">
      <c r="A60">
        <f t="shared" si="2"/>
        <v>59</v>
      </c>
      <c r="B60">
        <v>6</v>
      </c>
      <c r="C60">
        <f>IFERROR(_xlfn.XLOOKUP(I60,dim_produits!$C:$C,dim_produits!$A:$A,""),"")</f>
        <v>52</v>
      </c>
      <c r="D60">
        <v>5</v>
      </c>
      <c r="E60" s="12">
        <v>600</v>
      </c>
      <c r="F60" s="12">
        <f t="shared" si="0"/>
        <v>3000</v>
      </c>
      <c r="G60" s="12">
        <f>_xlfn.XLOOKUP(I60,dim_lignes_achat!$L:$L,dim_lignes_achat!$H:$H,"Nicht gefunden",0)</f>
        <v>470.83333333333331</v>
      </c>
      <c r="H60" s="12">
        <f t="shared" si="1"/>
        <v>2354.1666666666665</v>
      </c>
      <c r="I60" t="s">
        <v>237</v>
      </c>
      <c r="L60" t="str">
        <f>IF(ISNUMBER(MATCH(I60,dim_produits!$C:$C,0)),"OK","MANQUANT")</f>
        <v>OK</v>
      </c>
    </row>
    <row r="61" spans="1:12">
      <c r="A61">
        <f t="shared" si="2"/>
        <v>60</v>
      </c>
      <c r="B61">
        <v>6</v>
      </c>
      <c r="C61">
        <f>IFERROR(_xlfn.XLOOKUP(I61,dim_produits!$C:$C,dim_produits!$A:$A,""),"")</f>
        <v>15</v>
      </c>
      <c r="D61">
        <v>7</v>
      </c>
      <c r="E61" s="12">
        <v>1000</v>
      </c>
      <c r="F61" s="12">
        <f t="shared" si="0"/>
        <v>7000</v>
      </c>
      <c r="G61" s="12">
        <f>_xlfn.XLOOKUP(I61,dim_lignes_achat!$L:$L,dim_lignes_achat!$H:$H,"Nicht gefunden",0)</f>
        <v>741.66666666666663</v>
      </c>
      <c r="H61" s="12">
        <f t="shared" si="1"/>
        <v>5191.6666666666661</v>
      </c>
      <c r="I61" t="s">
        <v>230</v>
      </c>
      <c r="L61" t="str">
        <f>IF(ISNUMBER(MATCH(I61,dim_produits!$C:$C,0)),"OK","MANQUANT")</f>
        <v>OK</v>
      </c>
    </row>
    <row r="62" spans="1:12">
      <c r="A62">
        <f t="shared" si="2"/>
        <v>61</v>
      </c>
      <c r="B62">
        <v>6</v>
      </c>
      <c r="C62">
        <f>IFERROR(_xlfn.XLOOKUP(I62,dim_produits!$C:$C,dim_produits!$A:$A,""),"")</f>
        <v>10</v>
      </c>
      <c r="D62">
        <v>16</v>
      </c>
      <c r="E62" s="12">
        <v>750</v>
      </c>
      <c r="F62" s="12">
        <f t="shared" si="0"/>
        <v>12000</v>
      </c>
      <c r="G62" s="12">
        <f>_xlfn.XLOOKUP(I62,dim_lignes_achat!$L:$L,dim_lignes_achat!$H:$H,"Nicht gefunden",0)</f>
        <v>595.83333333333337</v>
      </c>
      <c r="H62" s="12">
        <f t="shared" si="1"/>
        <v>9533.3333333333339</v>
      </c>
      <c r="I62" t="s">
        <v>227</v>
      </c>
      <c r="L62" t="str">
        <f>IF(ISNUMBER(MATCH(I62,dim_produits!$C:$C,0)),"OK","MANQUANT")</f>
        <v>OK</v>
      </c>
    </row>
    <row r="63" spans="1:12">
      <c r="A63">
        <f t="shared" si="2"/>
        <v>62</v>
      </c>
      <c r="B63">
        <v>6</v>
      </c>
      <c r="C63">
        <f>IFERROR(_xlfn.XLOOKUP(I63,dim_produits!$C:$C,dim_produits!$A:$A,""),"")</f>
        <v>74</v>
      </c>
      <c r="D63">
        <v>9</v>
      </c>
      <c r="E63" s="12">
        <v>800</v>
      </c>
      <c r="F63" s="12">
        <f t="shared" si="0"/>
        <v>7200</v>
      </c>
      <c r="G63" s="12">
        <f>_xlfn.XLOOKUP(I63,dim_lignes_achat!$L:$L,dim_lignes_achat!$H:$H,"Nicht gefunden",0)</f>
        <v>700</v>
      </c>
      <c r="H63" s="12">
        <f t="shared" si="1"/>
        <v>6300</v>
      </c>
      <c r="I63" t="s">
        <v>198</v>
      </c>
      <c r="L63" t="str">
        <f>IF(ISNUMBER(MATCH(I63,dim_produits!$C:$C,0)),"OK","MANQUANT")</f>
        <v>OK</v>
      </c>
    </row>
    <row r="64" spans="1:12">
      <c r="A64">
        <f t="shared" si="2"/>
        <v>63</v>
      </c>
      <c r="B64">
        <v>6</v>
      </c>
      <c r="C64">
        <f>IFERROR(_xlfn.XLOOKUP(I64,dim_produits!$C:$C,dim_produits!$A:$A,""),"")</f>
        <v>12</v>
      </c>
      <c r="D64">
        <v>2</v>
      </c>
      <c r="E64" s="12">
        <v>750</v>
      </c>
      <c r="F64" s="12">
        <f t="shared" si="0"/>
        <v>1500</v>
      </c>
      <c r="G64" s="12">
        <f>_xlfn.XLOOKUP(I64,dim_lignes_achat!$L:$L,dim_lignes_achat!$H:$H,"Nicht gefunden",0)</f>
        <v>650</v>
      </c>
      <c r="H64" s="12">
        <f t="shared" si="1"/>
        <v>1300</v>
      </c>
      <c r="I64" t="s">
        <v>229</v>
      </c>
      <c r="L64" t="str">
        <f>IF(ISNUMBER(MATCH(I64,dim_produits!$C:$C,0)),"OK","MANQUANT")</f>
        <v>OK</v>
      </c>
    </row>
    <row r="65" spans="1:12">
      <c r="A65">
        <f t="shared" si="2"/>
        <v>64</v>
      </c>
      <c r="B65">
        <v>6</v>
      </c>
      <c r="C65">
        <f>IFERROR(_xlfn.XLOOKUP(I65,dim_produits!$C:$C,dim_produits!$A:$A,""),"")</f>
        <v>33</v>
      </c>
      <c r="D65">
        <v>1</v>
      </c>
      <c r="E65" s="12">
        <v>400</v>
      </c>
      <c r="F65" s="12">
        <f t="shared" si="0"/>
        <v>400</v>
      </c>
      <c r="G65" s="12">
        <f>_xlfn.XLOOKUP(I65,dim_lignes_achat!$L:$L,dim_lignes_achat!$H:$H,"Nicht gefunden",0)</f>
        <v>225</v>
      </c>
      <c r="H65" s="12">
        <f t="shared" si="1"/>
        <v>225</v>
      </c>
      <c r="I65" t="s">
        <v>212</v>
      </c>
      <c r="L65" t="str">
        <f>IF(ISNUMBER(MATCH(I65,dim_produits!$C:$C,0)),"OK","MANQUANT")</f>
        <v>OK</v>
      </c>
    </row>
    <row r="66" spans="1:12">
      <c r="A66">
        <f t="shared" si="2"/>
        <v>65</v>
      </c>
      <c r="B66">
        <v>7</v>
      </c>
      <c r="C66">
        <f>IFERROR(_xlfn.XLOOKUP(I66,dim_produits!$C:$C,dim_produits!$A:$A,""),"")</f>
        <v>72</v>
      </c>
      <c r="D66">
        <v>2</v>
      </c>
      <c r="E66" s="12">
        <v>500</v>
      </c>
      <c r="F66" s="12">
        <f t="shared" si="0"/>
        <v>1000</v>
      </c>
      <c r="G66" s="12">
        <f>_xlfn.XLOOKUP(I66,dim_lignes_achat!$L:$L,dim_lignes_achat!$H:$H,"Nicht gefunden",0)</f>
        <v>416.66666666666669</v>
      </c>
      <c r="H66" s="12">
        <f t="shared" si="1"/>
        <v>833.33333333333337</v>
      </c>
      <c r="I66" t="s">
        <v>195</v>
      </c>
      <c r="L66" t="str">
        <f>IF(ISNUMBER(MATCH(I66,dim_produits!$C:$C,0)),"OK","MANQUANT")</f>
        <v>OK</v>
      </c>
    </row>
    <row r="67" spans="1:12">
      <c r="A67">
        <f t="shared" si="2"/>
        <v>66</v>
      </c>
      <c r="B67">
        <v>7</v>
      </c>
      <c r="C67">
        <f>IFERROR(_xlfn.XLOOKUP(I67,dim_produits!$C:$C,dim_produits!$A:$A,""),"")</f>
        <v>18</v>
      </c>
      <c r="D67">
        <v>19</v>
      </c>
      <c r="E67" s="12">
        <v>750</v>
      </c>
      <c r="F67" s="12">
        <f t="shared" ref="F67:F85" si="4">D67*E67</f>
        <v>14250</v>
      </c>
      <c r="G67" s="12">
        <f>_xlfn.XLOOKUP(I67,dim_lignes_achat!$L:$L,dim_lignes_achat!$H:$H,"Nicht gefunden",0)</f>
        <v>650</v>
      </c>
      <c r="H67" s="12">
        <f t="shared" si="1"/>
        <v>12350</v>
      </c>
      <c r="I67" t="s">
        <v>228</v>
      </c>
      <c r="L67" t="str">
        <f>IF(ISNUMBER(MATCH(I67,dim_produits!$C:$C,0)),"OK","MANQUANT")</f>
        <v>OK</v>
      </c>
    </row>
    <row r="68" spans="1:12">
      <c r="A68">
        <f t="shared" ref="A68:A131" si="5">A67+1</f>
        <v>67</v>
      </c>
      <c r="B68">
        <v>7</v>
      </c>
      <c r="C68">
        <f>IFERROR(_xlfn.XLOOKUP(I68,dim_produits!$C:$C,dim_produits!$A:$A,""),"")</f>
        <v>9</v>
      </c>
      <c r="D68">
        <v>13</v>
      </c>
      <c r="E68" s="12">
        <v>750</v>
      </c>
      <c r="F68" s="12">
        <f t="shared" si="4"/>
        <v>9750</v>
      </c>
      <c r="G68" s="12">
        <f>_xlfn.XLOOKUP(I68,dim_lignes_achat!$L:$L,dim_lignes_achat!$H:$H,"Nicht gefunden",0)</f>
        <v>650</v>
      </c>
      <c r="H68" s="12">
        <f t="shared" ref="H68:H131" si="6">IF(ISNUMBER(G68),G68*D68,"")</f>
        <v>8450</v>
      </c>
      <c r="I68" t="s">
        <v>222</v>
      </c>
      <c r="L68" t="str">
        <f>IF(ISNUMBER(MATCH(I68,dim_produits!$C:$C,0)),"OK","MANQUANT")</f>
        <v>OK</v>
      </c>
    </row>
    <row r="69" spans="1:12">
      <c r="A69">
        <f t="shared" si="5"/>
        <v>68</v>
      </c>
      <c r="B69">
        <v>7</v>
      </c>
      <c r="C69">
        <f>IFERROR(_xlfn.XLOOKUP(I69,dim_produits!$C:$C,dim_produits!$A:$A,""),"")</f>
        <v>56</v>
      </c>
      <c r="D69">
        <v>15</v>
      </c>
      <c r="E69" s="12">
        <v>900</v>
      </c>
      <c r="F69" s="12">
        <f t="shared" si="4"/>
        <v>13500</v>
      </c>
      <c r="G69" s="12">
        <f>_xlfn.XLOOKUP(I69,dim_lignes_achat!$L:$L,dim_lignes_achat!$H:$H,"Nicht gefunden",0)</f>
        <v>650</v>
      </c>
      <c r="H69" s="12">
        <f t="shared" si="6"/>
        <v>9750</v>
      </c>
      <c r="I69" t="s">
        <v>238</v>
      </c>
      <c r="L69" t="str">
        <f>IF(ISNUMBER(MATCH(I69,dim_produits!$C:$C,0)),"OK","MANQUANT")</f>
        <v>OK</v>
      </c>
    </row>
    <row r="70" spans="1:12">
      <c r="A70">
        <f t="shared" si="5"/>
        <v>69</v>
      </c>
      <c r="B70">
        <v>7</v>
      </c>
      <c r="C70">
        <f>IFERROR(_xlfn.XLOOKUP(I70,dim_produits!$C:$C,dim_produits!$A:$A,""),"")</f>
        <v>15</v>
      </c>
      <c r="D70">
        <v>4</v>
      </c>
      <c r="E70" s="12">
        <v>1000</v>
      </c>
      <c r="F70" s="12">
        <f t="shared" si="4"/>
        <v>4000</v>
      </c>
      <c r="G70" s="12">
        <f>_xlfn.XLOOKUP(I70,dim_lignes_achat!$L:$L,dim_lignes_achat!$H:$H,"Nicht gefunden",0)</f>
        <v>741.66666666666663</v>
      </c>
      <c r="H70" s="12">
        <f t="shared" si="6"/>
        <v>2966.6666666666665</v>
      </c>
      <c r="I70" t="s">
        <v>230</v>
      </c>
      <c r="L70" t="str">
        <f>IF(ISNUMBER(MATCH(I70,dim_produits!$C:$C,0)),"OK","MANQUANT")</f>
        <v>OK</v>
      </c>
    </row>
    <row r="71" spans="1:12">
      <c r="A71">
        <f t="shared" si="5"/>
        <v>70</v>
      </c>
      <c r="B71">
        <v>7</v>
      </c>
      <c r="C71">
        <f>IFERROR(_xlfn.XLOOKUP(I71,dim_produits!$C:$C,dim_produits!$A:$A,""),"")</f>
        <v>16</v>
      </c>
      <c r="D71">
        <v>21</v>
      </c>
      <c r="E71" s="12">
        <v>750</v>
      </c>
      <c r="F71" s="12">
        <f t="shared" si="4"/>
        <v>15750</v>
      </c>
      <c r="G71" s="12">
        <f>_xlfn.XLOOKUP(I71,dim_lignes_achat!$L:$L,dim_lignes_achat!$H:$H,"Nicht gefunden",0)</f>
        <v>650</v>
      </c>
      <c r="H71" s="12">
        <f t="shared" si="6"/>
        <v>13650</v>
      </c>
      <c r="I71" t="s">
        <v>419</v>
      </c>
      <c r="L71" t="str">
        <f>IF(ISNUMBER(MATCH(I71,dim_produits!$C:$C,0)),"OK","MANQUANT")</f>
        <v>OK</v>
      </c>
    </row>
    <row r="72" spans="1:12">
      <c r="A72">
        <f t="shared" si="5"/>
        <v>71</v>
      </c>
      <c r="B72">
        <v>7</v>
      </c>
      <c r="C72">
        <f>IFERROR(_xlfn.XLOOKUP(I72,dim_produits!$C:$C,dim_produits!$A:$A,""),"")</f>
        <v>14</v>
      </c>
      <c r="D72">
        <v>2</v>
      </c>
      <c r="E72" s="12">
        <v>750</v>
      </c>
      <c r="F72" s="12">
        <f t="shared" si="4"/>
        <v>1500</v>
      </c>
      <c r="G72" s="12">
        <f>_xlfn.XLOOKUP(I72,dim_lignes_achat!$L:$L,dim_lignes_achat!$H:$H,"Nicht gefunden",0)</f>
        <v>554.16666666666663</v>
      </c>
      <c r="H72" s="12">
        <f t="shared" si="6"/>
        <v>1108.3333333333333</v>
      </c>
      <c r="I72" t="s">
        <v>373</v>
      </c>
      <c r="L72" t="str">
        <f>IF(ISNUMBER(MATCH(I72,dim_produits!$C:$C,0)),"OK","MANQUANT")</f>
        <v>OK</v>
      </c>
    </row>
    <row r="73" spans="1:12">
      <c r="A73">
        <f t="shared" si="5"/>
        <v>72</v>
      </c>
      <c r="B73">
        <v>7</v>
      </c>
      <c r="C73">
        <f>IFERROR(_xlfn.XLOOKUP(I73,dim_produits!$C:$C,dim_produits!$A:$A,""),"")</f>
        <v>33</v>
      </c>
      <c r="D73">
        <v>1</v>
      </c>
      <c r="E73" s="12">
        <v>400</v>
      </c>
      <c r="F73" s="12">
        <f t="shared" si="4"/>
        <v>400</v>
      </c>
      <c r="G73" s="12">
        <f>_xlfn.XLOOKUP(I73,dim_lignes_achat!$L:$L,dim_lignes_achat!$H:$H,"Nicht gefunden",0)</f>
        <v>225</v>
      </c>
      <c r="H73" s="12">
        <f t="shared" si="6"/>
        <v>225</v>
      </c>
      <c r="I73" t="s">
        <v>212</v>
      </c>
      <c r="L73" t="str">
        <f>IF(ISNUMBER(MATCH(I73,dim_produits!$C:$C,0)),"OK","MANQUANT")</f>
        <v>OK</v>
      </c>
    </row>
    <row r="74" spans="1:12">
      <c r="A74">
        <f t="shared" si="5"/>
        <v>73</v>
      </c>
      <c r="B74">
        <v>7</v>
      </c>
      <c r="C74">
        <f>IFERROR(_xlfn.XLOOKUP(I74,dim_produits!$C:$C,dim_produits!$A:$A,""),"")</f>
        <v>51</v>
      </c>
      <c r="D74">
        <v>2</v>
      </c>
      <c r="E74" s="12">
        <v>1500</v>
      </c>
      <c r="F74" s="12">
        <f t="shared" si="4"/>
        <v>3000</v>
      </c>
      <c r="G74" s="12">
        <f>_xlfn.XLOOKUP(I74,dim_lignes_achat!$L:$L,dim_lignes_achat!$H:$H,"Nicht gefunden",0)</f>
        <v>991.66666666666663</v>
      </c>
      <c r="H74" s="12">
        <f t="shared" si="6"/>
        <v>1983.3333333333333</v>
      </c>
      <c r="I74" t="s">
        <v>236</v>
      </c>
      <c r="L74" t="str">
        <f>IF(ISNUMBER(MATCH(I74,dim_produits!$C:$C,0)),"OK","MANQUANT")</f>
        <v>OK</v>
      </c>
    </row>
    <row r="75" spans="1:12">
      <c r="A75">
        <f t="shared" si="5"/>
        <v>74</v>
      </c>
      <c r="B75">
        <v>7</v>
      </c>
      <c r="C75">
        <f>IFERROR(_xlfn.XLOOKUP(I75,dim_produits!$C:$C,dim_produits!$A:$A,""),"")</f>
        <v>53</v>
      </c>
      <c r="D75">
        <v>14</v>
      </c>
      <c r="E75" s="12">
        <v>800</v>
      </c>
      <c r="F75" s="12">
        <f t="shared" si="4"/>
        <v>11200</v>
      </c>
      <c r="G75" s="12">
        <f>_xlfn.XLOOKUP(I75,dim_lignes_achat!$L:$L,dim_lignes_achat!$H:$H,"Nicht gefunden",0)</f>
        <v>600</v>
      </c>
      <c r="H75" s="12">
        <f t="shared" si="6"/>
        <v>8400</v>
      </c>
      <c r="I75" t="s">
        <v>370</v>
      </c>
      <c r="L75" t="str">
        <f>IF(ISNUMBER(MATCH(I75,dim_produits!$C:$C,0)),"OK","MANQUANT")</f>
        <v>OK</v>
      </c>
    </row>
    <row r="76" spans="1:12">
      <c r="A76">
        <f t="shared" si="5"/>
        <v>75</v>
      </c>
      <c r="B76">
        <v>7</v>
      </c>
      <c r="C76">
        <f>IFERROR(_xlfn.XLOOKUP(I76,dim_produits!$C:$C,dim_produits!$A:$A,""),"")</f>
        <v>12</v>
      </c>
      <c r="D76">
        <v>9</v>
      </c>
      <c r="E76" s="12">
        <v>750</v>
      </c>
      <c r="F76" s="12">
        <f t="shared" si="4"/>
        <v>6750</v>
      </c>
      <c r="G76" s="12">
        <f>_xlfn.XLOOKUP(I76,dim_lignes_achat!$L:$L,dim_lignes_achat!$H:$H,"Nicht gefunden",0)</f>
        <v>650</v>
      </c>
      <c r="H76" s="12">
        <f t="shared" si="6"/>
        <v>5850</v>
      </c>
      <c r="I76" t="s">
        <v>229</v>
      </c>
      <c r="L76" t="str">
        <f>IF(ISNUMBER(MATCH(I76,dim_produits!$C:$C,0)),"OK","MANQUANT")</f>
        <v>OK</v>
      </c>
    </row>
    <row r="77" spans="1:12">
      <c r="A77">
        <f t="shared" si="5"/>
        <v>76</v>
      </c>
      <c r="B77">
        <v>7</v>
      </c>
      <c r="C77">
        <f>IFERROR(_xlfn.XLOOKUP(I77,dim_produits!$C:$C,dim_produits!$A:$A,""),"")</f>
        <v>52</v>
      </c>
      <c r="D77">
        <v>2</v>
      </c>
      <c r="E77" s="12">
        <v>600</v>
      </c>
      <c r="F77" s="12">
        <f t="shared" si="4"/>
        <v>1200</v>
      </c>
      <c r="G77" s="12">
        <f>_xlfn.XLOOKUP(I77,dim_lignes_achat!$L:$L,dim_lignes_achat!$H:$H,"Nicht gefunden",0)</f>
        <v>470.83333333333331</v>
      </c>
      <c r="H77" s="12">
        <f t="shared" si="6"/>
        <v>941.66666666666663</v>
      </c>
      <c r="I77" t="s">
        <v>237</v>
      </c>
      <c r="L77" t="str">
        <f>IF(ISNUMBER(MATCH(I77,dim_produits!$C:$C,0)),"OK","MANQUANT")</f>
        <v>OK</v>
      </c>
    </row>
    <row r="78" spans="1:12">
      <c r="A78">
        <f t="shared" si="5"/>
        <v>77</v>
      </c>
      <c r="B78">
        <v>7</v>
      </c>
      <c r="C78">
        <f>IFERROR(_xlfn.XLOOKUP(I78,dim_produits!$C:$C,dim_produits!$A:$A,""),"")</f>
        <v>74</v>
      </c>
      <c r="D78">
        <v>2</v>
      </c>
      <c r="E78" s="12">
        <v>800</v>
      </c>
      <c r="F78" s="12">
        <f t="shared" si="4"/>
        <v>1600</v>
      </c>
      <c r="G78" s="12">
        <f>_xlfn.XLOOKUP(I78,dim_lignes_achat!$L:$L,dim_lignes_achat!$H:$H,"Nicht gefunden",0)</f>
        <v>700</v>
      </c>
      <c r="H78" s="12">
        <f t="shared" si="6"/>
        <v>1400</v>
      </c>
      <c r="I78" t="s">
        <v>198</v>
      </c>
      <c r="L78" t="str">
        <f>IF(ISNUMBER(MATCH(I78,dim_produits!$C:$C,0)),"OK","MANQUANT")</f>
        <v>OK</v>
      </c>
    </row>
    <row r="79" spans="1:12">
      <c r="A79">
        <f t="shared" si="5"/>
        <v>78</v>
      </c>
      <c r="B79">
        <v>7</v>
      </c>
      <c r="C79">
        <f>IFERROR(_xlfn.XLOOKUP(I79,dim_produits!$C:$C,dim_produits!$A:$A,""),"")</f>
        <v>92</v>
      </c>
      <c r="D79">
        <v>2</v>
      </c>
      <c r="E79" s="12">
        <v>750</v>
      </c>
      <c r="F79" s="12">
        <f t="shared" si="4"/>
        <v>1500</v>
      </c>
      <c r="G79" s="12">
        <f>_xlfn.XLOOKUP(I79,dim_lignes_achat!$L:$L,dim_lignes_achat!$H:$H,"Nicht gefunden",0)</f>
        <v>413.33333333333331</v>
      </c>
      <c r="H79" s="12">
        <f t="shared" si="6"/>
        <v>826.66666666666663</v>
      </c>
      <c r="I79" t="s">
        <v>375</v>
      </c>
      <c r="L79" t="str">
        <f>IF(ISNUMBER(MATCH(I79,dim_produits!$C:$C,0)),"OK","MANQUANT")</f>
        <v>OK</v>
      </c>
    </row>
    <row r="80" spans="1:12">
      <c r="A80">
        <f t="shared" si="5"/>
        <v>79</v>
      </c>
      <c r="B80">
        <v>8</v>
      </c>
      <c r="C80">
        <f>IFERROR(_xlfn.XLOOKUP(I80,dim_produits!$C:$C,dim_produits!$A:$A,""),"")</f>
        <v>9</v>
      </c>
      <c r="D80">
        <v>5</v>
      </c>
      <c r="E80" s="12">
        <v>750</v>
      </c>
      <c r="F80" s="12">
        <f t="shared" si="4"/>
        <v>3750</v>
      </c>
      <c r="G80" s="12">
        <f>_xlfn.XLOOKUP(I80,dim_lignes_achat!$L:$L,dim_lignes_achat!$H:$H,"Nicht gefunden",0)</f>
        <v>650</v>
      </c>
      <c r="H80" s="12">
        <f t="shared" si="6"/>
        <v>3250</v>
      </c>
      <c r="I80" t="s">
        <v>222</v>
      </c>
      <c r="L80" t="str">
        <f>IF(ISNUMBER(MATCH(I80,dim_produits!$C:$C,0)),"OK","MANQUANT")</f>
        <v>OK</v>
      </c>
    </row>
    <row r="81" spans="1:12">
      <c r="A81">
        <f t="shared" si="5"/>
        <v>80</v>
      </c>
      <c r="B81">
        <v>8</v>
      </c>
      <c r="C81">
        <f>IFERROR(_xlfn.XLOOKUP(I81,dim_produits!$C:$C,dim_produits!$A:$A,""),"")</f>
        <v>12</v>
      </c>
      <c r="D81">
        <v>2</v>
      </c>
      <c r="E81" s="12">
        <v>750</v>
      </c>
      <c r="F81" s="12">
        <f t="shared" si="4"/>
        <v>1500</v>
      </c>
      <c r="G81" s="12">
        <f>_xlfn.XLOOKUP(I81,dim_lignes_achat!$L:$L,dim_lignes_achat!$H:$H,"Nicht gefunden",0)</f>
        <v>650</v>
      </c>
      <c r="H81" s="12">
        <f t="shared" si="6"/>
        <v>1300</v>
      </c>
      <c r="I81" t="s">
        <v>229</v>
      </c>
      <c r="L81" t="str">
        <f>IF(ISNUMBER(MATCH(I81,dim_produits!$C:$C,0)),"OK","MANQUANT")</f>
        <v>OK</v>
      </c>
    </row>
    <row r="82" spans="1:12">
      <c r="A82">
        <f t="shared" si="5"/>
        <v>81</v>
      </c>
      <c r="B82">
        <v>8</v>
      </c>
      <c r="C82">
        <f>IFERROR(_xlfn.XLOOKUP(I82,dim_produits!$C:$C,dim_produits!$A:$A,""),"")</f>
        <v>33</v>
      </c>
      <c r="D82">
        <v>3</v>
      </c>
      <c r="E82" s="12">
        <v>400</v>
      </c>
      <c r="F82" s="12">
        <f t="shared" si="4"/>
        <v>1200</v>
      </c>
      <c r="G82" s="12">
        <f>_xlfn.XLOOKUP(I82,dim_lignes_achat!$L:$L,dim_lignes_achat!$H:$H,"Nicht gefunden",0)</f>
        <v>225</v>
      </c>
      <c r="H82" s="12">
        <f t="shared" si="6"/>
        <v>675</v>
      </c>
      <c r="I82" t="s">
        <v>212</v>
      </c>
      <c r="L82" t="str">
        <f>IF(ISNUMBER(MATCH(I82,dim_produits!$C:$C,0)),"OK","MANQUANT")</f>
        <v>OK</v>
      </c>
    </row>
    <row r="83" spans="1:12">
      <c r="A83">
        <f t="shared" si="5"/>
        <v>82</v>
      </c>
      <c r="B83">
        <v>8</v>
      </c>
      <c r="C83">
        <f>IFERROR(_xlfn.XLOOKUP(I83,dim_produits!$C:$C,dim_produits!$A:$A,""),"")</f>
        <v>15</v>
      </c>
      <c r="D83">
        <v>1</v>
      </c>
      <c r="E83" s="12">
        <v>1000</v>
      </c>
      <c r="F83" s="12">
        <f t="shared" si="4"/>
        <v>1000</v>
      </c>
      <c r="G83" s="12">
        <f>_xlfn.XLOOKUP(I83,dim_lignes_achat!$L:$L,dim_lignes_achat!$H:$H,"Nicht gefunden",0)</f>
        <v>741.66666666666663</v>
      </c>
      <c r="H83" s="12">
        <f t="shared" si="6"/>
        <v>741.66666666666663</v>
      </c>
      <c r="I83" t="s">
        <v>230</v>
      </c>
      <c r="L83" t="str">
        <f>IF(ISNUMBER(MATCH(I83,dim_produits!$C:$C,0)),"OK","MANQUANT")</f>
        <v>OK</v>
      </c>
    </row>
    <row r="84" spans="1:12">
      <c r="A84">
        <f t="shared" si="5"/>
        <v>83</v>
      </c>
      <c r="B84">
        <v>8</v>
      </c>
      <c r="C84">
        <f>IFERROR(_xlfn.XLOOKUP(I84,dim_produits!$C:$C,dim_produits!$A:$A,""),"")</f>
        <v>17</v>
      </c>
      <c r="D84">
        <v>2</v>
      </c>
      <c r="E84" s="12">
        <v>600</v>
      </c>
      <c r="F84" s="12">
        <f t="shared" si="4"/>
        <v>1200</v>
      </c>
      <c r="G84" s="12">
        <f>_xlfn.XLOOKUP(I84,dim_lignes_achat!$L:$L,dim_lignes_achat!$H:$H,"Nicht gefunden",0)</f>
        <v>450</v>
      </c>
      <c r="H84" s="12">
        <f t="shared" si="6"/>
        <v>900</v>
      </c>
      <c r="I84" t="s">
        <v>225</v>
      </c>
      <c r="L84" t="str">
        <f>IF(ISNUMBER(MATCH(I84,dim_produits!$C:$C,0)),"OK","MANQUANT")</f>
        <v>OK</v>
      </c>
    </row>
    <row r="85" spans="1:12">
      <c r="A85">
        <f t="shared" si="5"/>
        <v>84</v>
      </c>
      <c r="B85">
        <v>8</v>
      </c>
      <c r="C85">
        <f>IFERROR(_xlfn.XLOOKUP(I85,dim_produits!$C:$C,dim_produits!$A:$A,""),"")</f>
        <v>56</v>
      </c>
      <c r="D85">
        <v>6</v>
      </c>
      <c r="E85" s="12">
        <v>900</v>
      </c>
      <c r="F85" s="12">
        <f t="shared" si="4"/>
        <v>5400</v>
      </c>
      <c r="G85" s="12">
        <f>_xlfn.XLOOKUP(I85,dim_lignes_achat!$L:$L,dim_lignes_achat!$H:$H,"Nicht gefunden",0)</f>
        <v>650</v>
      </c>
      <c r="H85" s="12">
        <f t="shared" si="6"/>
        <v>3900</v>
      </c>
      <c r="I85" t="s">
        <v>238</v>
      </c>
      <c r="L85" t="str">
        <f>IF(ISNUMBER(MATCH(I85,dim_produits!$C:$C,0)),"OK","MANQUANT")</f>
        <v>OK</v>
      </c>
    </row>
    <row r="86" spans="1:12">
      <c r="A86">
        <f t="shared" si="5"/>
        <v>85</v>
      </c>
      <c r="B86">
        <v>8</v>
      </c>
      <c r="C86">
        <f>IFERROR(_xlfn.XLOOKUP(I86,dim_produits!$C:$C,dim_produits!$A:$A,""),"")</f>
        <v>10</v>
      </c>
      <c r="D86">
        <v>2</v>
      </c>
      <c r="E86" s="12">
        <v>750</v>
      </c>
      <c r="F86" s="12">
        <f t="shared" ref="F86:F107" si="7">D86*E86</f>
        <v>1500</v>
      </c>
      <c r="G86" s="12">
        <f>_xlfn.XLOOKUP(I86,dim_lignes_achat!$L:$L,dim_lignes_achat!$H:$H,"Nicht gefunden",0)</f>
        <v>595.83333333333337</v>
      </c>
      <c r="H86" s="12">
        <f t="shared" si="6"/>
        <v>1191.6666666666667</v>
      </c>
      <c r="I86" t="s">
        <v>227</v>
      </c>
      <c r="L86" t="str">
        <f>IF(ISNUMBER(MATCH(I86,dim_produits!$C:$C,0)),"OK","MANQUANT")</f>
        <v>OK</v>
      </c>
    </row>
    <row r="87" spans="1:12">
      <c r="A87">
        <f t="shared" si="5"/>
        <v>86</v>
      </c>
      <c r="B87">
        <v>8</v>
      </c>
      <c r="C87">
        <f>IFERROR(_xlfn.XLOOKUP(I87,dim_produits!$C:$C,dim_produits!$A:$A,""),"")</f>
        <v>14</v>
      </c>
      <c r="D87">
        <v>2</v>
      </c>
      <c r="E87" s="12">
        <v>750</v>
      </c>
      <c r="F87" s="12">
        <f t="shared" si="7"/>
        <v>1500</v>
      </c>
      <c r="G87" s="12">
        <f>_xlfn.XLOOKUP(I87,dim_lignes_achat!$L:$L,dim_lignes_achat!$H:$H,"Nicht gefunden",0)</f>
        <v>554.16666666666663</v>
      </c>
      <c r="H87" s="12">
        <f t="shared" si="6"/>
        <v>1108.3333333333333</v>
      </c>
      <c r="I87" t="s">
        <v>373</v>
      </c>
      <c r="L87" t="str">
        <f>IF(ISNUMBER(MATCH(I87,dim_produits!$C:$C,0)),"OK","MANQUANT")</f>
        <v>OK</v>
      </c>
    </row>
    <row r="88" spans="1:12">
      <c r="A88">
        <f t="shared" si="5"/>
        <v>87</v>
      </c>
      <c r="B88">
        <v>8</v>
      </c>
      <c r="C88">
        <f>IFERROR(_xlfn.XLOOKUP(I88,dim_produits!$C:$C,dim_produits!$A:$A,""),"")</f>
        <v>54</v>
      </c>
      <c r="D88">
        <v>2</v>
      </c>
      <c r="E88" s="12">
        <v>800</v>
      </c>
      <c r="F88" s="12">
        <f t="shared" si="7"/>
        <v>1600</v>
      </c>
      <c r="G88" s="12">
        <f>_xlfn.XLOOKUP(I88,dim_lignes_achat!$L:$L,dim_lignes_achat!$H:$H,"Nicht gefunden",0)</f>
        <v>595.83333333333337</v>
      </c>
      <c r="H88" s="12">
        <f t="shared" si="6"/>
        <v>1191.6666666666667</v>
      </c>
      <c r="I88" t="s">
        <v>235</v>
      </c>
      <c r="L88" t="str">
        <f>IF(ISNUMBER(MATCH(I88,dim_produits!$C:$C,0)),"OK","MANQUANT")</f>
        <v>OK</v>
      </c>
    </row>
    <row r="89" spans="1:12">
      <c r="A89">
        <f t="shared" si="5"/>
        <v>88</v>
      </c>
      <c r="B89">
        <v>8</v>
      </c>
      <c r="C89">
        <f>IFERROR(_xlfn.XLOOKUP(I89,dim_produits!$C:$C,dim_produits!$A:$A,""),"")</f>
        <v>72</v>
      </c>
      <c r="D89">
        <v>1</v>
      </c>
      <c r="E89" s="12">
        <v>500</v>
      </c>
      <c r="F89" s="12">
        <f t="shared" si="7"/>
        <v>500</v>
      </c>
      <c r="G89" s="12">
        <f>_xlfn.XLOOKUP(I89,dim_lignes_achat!$L:$L,dim_lignes_achat!$H:$H,"Nicht gefunden",0)</f>
        <v>416.66666666666669</v>
      </c>
      <c r="H89" s="12">
        <f t="shared" si="6"/>
        <v>416.66666666666669</v>
      </c>
      <c r="I89" t="s">
        <v>195</v>
      </c>
      <c r="L89" t="str">
        <f>IF(ISNUMBER(MATCH(I89,dim_produits!$C:$C,0)),"OK","MANQUANT")</f>
        <v>OK</v>
      </c>
    </row>
    <row r="90" spans="1:12">
      <c r="A90">
        <f t="shared" si="5"/>
        <v>89</v>
      </c>
      <c r="B90">
        <v>8</v>
      </c>
      <c r="C90">
        <f>IFERROR(_xlfn.XLOOKUP(I90,dim_produits!$C:$C,dim_produits!$A:$A,""),"")</f>
        <v>11</v>
      </c>
      <c r="D90">
        <v>12</v>
      </c>
      <c r="E90" s="12">
        <v>750</v>
      </c>
      <c r="F90" s="12">
        <f t="shared" si="7"/>
        <v>9000</v>
      </c>
      <c r="G90" s="12">
        <f>_xlfn.XLOOKUP(I90,dim_lignes_achat!$L:$L,dim_lignes_achat!$H:$H,"Nicht gefunden",0)</f>
        <v>650</v>
      </c>
      <c r="H90" s="12">
        <f t="shared" si="6"/>
        <v>7800</v>
      </c>
      <c r="I90" t="s">
        <v>223</v>
      </c>
      <c r="L90" t="str">
        <f>IF(ISNUMBER(MATCH(I90,dim_produits!$C:$C,0)),"OK","MANQUANT")</f>
        <v>OK</v>
      </c>
    </row>
    <row r="91" spans="1:12">
      <c r="A91">
        <f t="shared" si="5"/>
        <v>90</v>
      </c>
      <c r="B91">
        <v>8</v>
      </c>
      <c r="C91">
        <f>IFERROR(_xlfn.XLOOKUP(I91,dim_produits!$C:$C,dim_produits!$A:$A,""),"")</f>
        <v>18</v>
      </c>
      <c r="D91">
        <v>2</v>
      </c>
      <c r="E91" s="12">
        <v>750</v>
      </c>
      <c r="F91" s="12">
        <f t="shared" si="7"/>
        <v>1500</v>
      </c>
      <c r="G91" s="12">
        <f>_xlfn.XLOOKUP(I91,dim_lignes_achat!$L:$L,dim_lignes_achat!$H:$H,"Nicht gefunden",0)</f>
        <v>650</v>
      </c>
      <c r="H91" s="12">
        <f t="shared" si="6"/>
        <v>1300</v>
      </c>
      <c r="I91" t="s">
        <v>228</v>
      </c>
      <c r="L91" t="str">
        <f>IF(ISNUMBER(MATCH(I91,dim_produits!$C:$C,0)),"OK","MANQUANT")</f>
        <v>OK</v>
      </c>
    </row>
    <row r="92" spans="1:12">
      <c r="A92">
        <f t="shared" si="5"/>
        <v>91</v>
      </c>
      <c r="B92">
        <v>8</v>
      </c>
      <c r="C92">
        <f>IFERROR(_xlfn.XLOOKUP(I92,dim_produits!$C:$C,dim_produits!$A:$A,""),"")</f>
        <v>16</v>
      </c>
      <c r="D92">
        <v>6</v>
      </c>
      <c r="E92" s="12">
        <v>750</v>
      </c>
      <c r="F92" s="12">
        <f t="shared" si="7"/>
        <v>4500</v>
      </c>
      <c r="G92" s="12">
        <f>_xlfn.XLOOKUP(I92,dim_lignes_achat!$L:$L,dim_lignes_achat!$H:$H,"Nicht gefunden",0)</f>
        <v>650</v>
      </c>
      <c r="H92" s="12">
        <f t="shared" si="6"/>
        <v>3900</v>
      </c>
      <c r="I92" t="s">
        <v>419</v>
      </c>
      <c r="L92" t="str">
        <f>IF(ISNUMBER(MATCH(I92,dim_produits!$C:$C,0)),"OK","MANQUANT")</f>
        <v>OK</v>
      </c>
    </row>
    <row r="93" spans="1:12">
      <c r="A93">
        <f t="shared" si="5"/>
        <v>92</v>
      </c>
      <c r="B93">
        <v>9</v>
      </c>
      <c r="C93">
        <f>IFERROR(_xlfn.XLOOKUP(I93,dim_produits!$C:$C,dim_produits!$A:$A,""),"")</f>
        <v>53</v>
      </c>
      <c r="D93">
        <v>6</v>
      </c>
      <c r="E93" s="12">
        <v>800</v>
      </c>
      <c r="F93" s="12">
        <f t="shared" si="7"/>
        <v>4800</v>
      </c>
      <c r="G93" s="12">
        <f>_xlfn.XLOOKUP(I93,dim_lignes_achat!$L:$L,dim_lignes_achat!$H:$H,"Nicht gefunden",0)</f>
        <v>600</v>
      </c>
      <c r="H93" s="12">
        <f t="shared" si="6"/>
        <v>3600</v>
      </c>
      <c r="I93" t="s">
        <v>370</v>
      </c>
      <c r="L93" t="str">
        <f>IF(ISNUMBER(MATCH(I93,dim_produits!$C:$C,0)),"OK","MANQUANT")</f>
        <v>OK</v>
      </c>
    </row>
    <row r="94" spans="1:12">
      <c r="A94">
        <f t="shared" si="5"/>
        <v>93</v>
      </c>
      <c r="B94">
        <v>9</v>
      </c>
      <c r="C94">
        <f>IFERROR(_xlfn.XLOOKUP(I94,dim_produits!$C:$C,dim_produits!$A:$A,""),"")</f>
        <v>12</v>
      </c>
      <c r="D94">
        <v>2</v>
      </c>
      <c r="E94" s="12">
        <v>750</v>
      </c>
      <c r="F94" s="12">
        <f t="shared" si="7"/>
        <v>1500</v>
      </c>
      <c r="G94" s="12">
        <f>_xlfn.XLOOKUP(I94,dim_lignes_achat!$L:$L,dim_lignes_achat!$H:$H,"Nicht gefunden",0)</f>
        <v>650</v>
      </c>
      <c r="H94" s="12">
        <f t="shared" si="6"/>
        <v>1300</v>
      </c>
      <c r="I94" t="s">
        <v>229</v>
      </c>
      <c r="L94" t="str">
        <f>IF(ISNUMBER(MATCH(I94,dim_produits!$C:$C,0)),"OK","MANQUANT")</f>
        <v>OK</v>
      </c>
    </row>
    <row r="95" spans="1:12">
      <c r="A95">
        <f t="shared" si="5"/>
        <v>94</v>
      </c>
      <c r="B95">
        <v>9</v>
      </c>
      <c r="C95">
        <f>IFERROR(_xlfn.XLOOKUP(I95,dim_produits!$C:$C,dim_produits!$A:$A,""),"")</f>
        <v>14</v>
      </c>
      <c r="D95">
        <v>5</v>
      </c>
      <c r="E95" s="12">
        <v>750</v>
      </c>
      <c r="F95" s="12">
        <f t="shared" si="7"/>
        <v>3750</v>
      </c>
      <c r="G95" s="12">
        <f>_xlfn.XLOOKUP(I95,dim_lignes_achat!$L:$L,dim_lignes_achat!$H:$H,"Nicht gefunden",0)</f>
        <v>554.16666666666663</v>
      </c>
      <c r="H95" s="12">
        <f t="shared" si="6"/>
        <v>2770.833333333333</v>
      </c>
      <c r="I95" t="s">
        <v>373</v>
      </c>
      <c r="L95" t="str">
        <f>IF(ISNUMBER(MATCH(I95,dim_produits!$C:$C,0)),"OK","MANQUANT")</f>
        <v>OK</v>
      </c>
    </row>
    <row r="96" spans="1:12">
      <c r="A96">
        <f t="shared" si="5"/>
        <v>95</v>
      </c>
      <c r="B96">
        <v>9</v>
      </c>
      <c r="C96">
        <f>IFERROR(_xlfn.XLOOKUP(I96,dim_produits!$C:$C,dim_produits!$A:$A,""),"")</f>
        <v>33</v>
      </c>
      <c r="D96">
        <v>3</v>
      </c>
      <c r="E96" s="12">
        <v>400</v>
      </c>
      <c r="F96" s="12">
        <f t="shared" si="7"/>
        <v>1200</v>
      </c>
      <c r="G96" s="12">
        <f>_xlfn.XLOOKUP(I96,dim_lignes_achat!$L:$L,dim_lignes_achat!$H:$H,"Nicht gefunden",0)</f>
        <v>225</v>
      </c>
      <c r="H96" s="12">
        <f t="shared" si="6"/>
        <v>675</v>
      </c>
      <c r="I96" t="s">
        <v>212</v>
      </c>
      <c r="L96" t="str">
        <f>IF(ISNUMBER(MATCH(I96,dim_produits!$C:$C,0)),"OK","MANQUANT")</f>
        <v>OK</v>
      </c>
    </row>
    <row r="97" spans="1:12">
      <c r="A97">
        <f t="shared" si="5"/>
        <v>96</v>
      </c>
      <c r="B97">
        <v>9</v>
      </c>
      <c r="C97">
        <f>IFERROR(_xlfn.XLOOKUP(I97,dim_produits!$C:$C,dim_produits!$A:$A,""),"")</f>
        <v>16</v>
      </c>
      <c r="D97">
        <v>5</v>
      </c>
      <c r="E97" s="12">
        <v>750</v>
      </c>
      <c r="F97" s="12">
        <f t="shared" si="7"/>
        <v>3750</v>
      </c>
      <c r="G97" s="12">
        <f>_xlfn.XLOOKUP(I97,dim_lignes_achat!$L:$L,dim_lignes_achat!$H:$H,"Nicht gefunden",0)</f>
        <v>650</v>
      </c>
      <c r="H97" s="12">
        <f t="shared" si="6"/>
        <v>3250</v>
      </c>
      <c r="I97" t="s">
        <v>419</v>
      </c>
      <c r="L97" t="str">
        <f>IF(ISNUMBER(MATCH(I97,dim_produits!$C:$C,0)),"OK","MANQUANT")</f>
        <v>OK</v>
      </c>
    </row>
    <row r="98" spans="1:12">
      <c r="A98">
        <f t="shared" si="5"/>
        <v>97</v>
      </c>
      <c r="B98">
        <v>9</v>
      </c>
      <c r="C98">
        <f>IFERROR(_xlfn.XLOOKUP(I98,dim_produits!$C:$C,dim_produits!$A:$A,""),"")</f>
        <v>7</v>
      </c>
      <c r="D98">
        <v>5</v>
      </c>
      <c r="E98" s="12">
        <v>750</v>
      </c>
      <c r="F98" s="12">
        <f t="shared" si="7"/>
        <v>3750</v>
      </c>
      <c r="G98" s="12">
        <f>_xlfn.XLOOKUP(I98,dim_lignes_achat!$L:$L,dim_lignes_achat!$H:$H,"Nicht gefunden",0)</f>
        <v>600</v>
      </c>
      <c r="H98" s="12">
        <f t="shared" si="6"/>
        <v>3000</v>
      </c>
      <c r="I98" t="s">
        <v>220</v>
      </c>
      <c r="L98" t="str">
        <f>IF(ISNUMBER(MATCH(I98,dim_produits!$C:$C,0)),"OK","MANQUANT")</f>
        <v>OK</v>
      </c>
    </row>
    <row r="99" spans="1:12">
      <c r="A99">
        <f t="shared" si="5"/>
        <v>98</v>
      </c>
      <c r="B99">
        <v>9</v>
      </c>
      <c r="C99">
        <f>IFERROR(_xlfn.XLOOKUP(I99,dim_produits!$C:$C,dim_produits!$A:$A,""),"")</f>
        <v>52</v>
      </c>
      <c r="D99">
        <v>6</v>
      </c>
      <c r="E99" s="12">
        <v>600</v>
      </c>
      <c r="F99" s="12">
        <f t="shared" si="7"/>
        <v>3600</v>
      </c>
      <c r="G99" s="12">
        <f>_xlfn.XLOOKUP(I99,dim_lignes_achat!$L:$L,dim_lignes_achat!$H:$H,"Nicht gefunden",0)</f>
        <v>470.83333333333331</v>
      </c>
      <c r="H99" s="12">
        <f t="shared" si="6"/>
        <v>2825</v>
      </c>
      <c r="I99" t="s">
        <v>237</v>
      </c>
      <c r="L99" t="str">
        <f>IF(ISNUMBER(MATCH(I99,dim_produits!$C:$C,0)),"OK","MANQUANT")</f>
        <v>OK</v>
      </c>
    </row>
    <row r="100" spans="1:12">
      <c r="A100">
        <f t="shared" si="5"/>
        <v>99</v>
      </c>
      <c r="B100">
        <v>9</v>
      </c>
      <c r="C100">
        <f>IFERROR(_xlfn.XLOOKUP(I100,dim_produits!$C:$C,dim_produits!$A:$A,""),"")</f>
        <v>56</v>
      </c>
      <c r="D100">
        <v>8</v>
      </c>
      <c r="E100" s="12">
        <v>900</v>
      </c>
      <c r="F100" s="12">
        <f t="shared" si="7"/>
        <v>7200</v>
      </c>
      <c r="G100" s="12">
        <f>_xlfn.XLOOKUP(I100,dim_lignes_achat!$L:$L,dim_lignes_achat!$H:$H,"Nicht gefunden",0)</f>
        <v>650</v>
      </c>
      <c r="H100" s="12">
        <f t="shared" si="6"/>
        <v>5200</v>
      </c>
      <c r="I100" t="s">
        <v>238</v>
      </c>
      <c r="L100" t="str">
        <f>IF(ISNUMBER(MATCH(I100,dim_produits!$C:$C,0)),"OK","MANQUANT")</f>
        <v>OK</v>
      </c>
    </row>
    <row r="101" spans="1:12">
      <c r="A101">
        <f t="shared" si="5"/>
        <v>100</v>
      </c>
      <c r="B101">
        <v>9</v>
      </c>
      <c r="C101">
        <f>IFERROR(_xlfn.XLOOKUP(I101,dim_produits!$C:$C,dim_produits!$A:$A,""),"")</f>
        <v>51</v>
      </c>
      <c r="D101">
        <v>2</v>
      </c>
      <c r="E101" s="12">
        <v>1500</v>
      </c>
      <c r="F101" s="12">
        <f t="shared" si="7"/>
        <v>3000</v>
      </c>
      <c r="G101" s="12">
        <f>_xlfn.XLOOKUP(I101,dim_lignes_achat!$L:$L,dim_lignes_achat!$H:$H,"Nicht gefunden",0)</f>
        <v>991.66666666666663</v>
      </c>
      <c r="H101" s="12">
        <f t="shared" si="6"/>
        <v>1983.3333333333333</v>
      </c>
      <c r="I101" t="s">
        <v>236</v>
      </c>
      <c r="L101" t="str">
        <f>IF(ISNUMBER(MATCH(I101,dim_produits!$C:$C,0)),"OK","MANQUANT")</f>
        <v>OK</v>
      </c>
    </row>
    <row r="102" spans="1:12">
      <c r="A102">
        <f t="shared" si="5"/>
        <v>101</v>
      </c>
      <c r="B102">
        <v>9</v>
      </c>
      <c r="C102">
        <f>IFERROR(_xlfn.XLOOKUP(I102,dim_produits!$C:$C,dim_produits!$A:$A,""),"")</f>
        <v>9</v>
      </c>
      <c r="D102">
        <v>16</v>
      </c>
      <c r="E102" s="12">
        <v>750</v>
      </c>
      <c r="F102" s="12">
        <f t="shared" si="7"/>
        <v>12000</v>
      </c>
      <c r="G102" s="12">
        <f>_xlfn.XLOOKUP(I102,dim_lignes_achat!$L:$L,dim_lignes_achat!$H:$H,"Nicht gefunden",0)</f>
        <v>650</v>
      </c>
      <c r="H102" s="12">
        <f t="shared" si="6"/>
        <v>10400</v>
      </c>
      <c r="I102" t="s">
        <v>222</v>
      </c>
      <c r="L102" t="str">
        <f>IF(ISNUMBER(MATCH(I102,dim_produits!$C:$C,0)),"OK","MANQUANT")</f>
        <v>OK</v>
      </c>
    </row>
    <row r="103" spans="1:12">
      <c r="A103">
        <f t="shared" si="5"/>
        <v>102</v>
      </c>
      <c r="B103">
        <v>9</v>
      </c>
      <c r="C103">
        <f>IFERROR(_xlfn.XLOOKUP(I103,dim_produits!$C:$C,dim_produits!$A:$A,""),"")</f>
        <v>92</v>
      </c>
      <c r="D103">
        <v>1</v>
      </c>
      <c r="E103" s="12">
        <v>750</v>
      </c>
      <c r="F103" s="12">
        <f t="shared" si="7"/>
        <v>750</v>
      </c>
      <c r="G103" s="12">
        <f>_xlfn.XLOOKUP(I103,dim_lignes_achat!$L:$L,dim_lignes_achat!$H:$H,"Nicht gefunden",0)</f>
        <v>413.33333333333331</v>
      </c>
      <c r="H103" s="12">
        <f t="shared" si="6"/>
        <v>413.33333333333331</v>
      </c>
      <c r="I103" t="s">
        <v>375</v>
      </c>
      <c r="L103" t="str">
        <f>IF(ISNUMBER(MATCH(I103,dim_produits!$C:$C,0)),"OK","MANQUANT")</f>
        <v>OK</v>
      </c>
    </row>
    <row r="104" spans="1:12">
      <c r="A104">
        <f t="shared" si="5"/>
        <v>103</v>
      </c>
      <c r="B104">
        <v>9</v>
      </c>
      <c r="C104">
        <f>IFERROR(_xlfn.XLOOKUP(I104,dim_produits!$C:$C,dim_produits!$A:$A,""),"")</f>
        <v>18</v>
      </c>
      <c r="D104">
        <v>1</v>
      </c>
      <c r="E104" s="12">
        <v>750</v>
      </c>
      <c r="F104" s="12">
        <f t="shared" si="7"/>
        <v>750</v>
      </c>
      <c r="G104" s="12">
        <f>_xlfn.XLOOKUP(I104,dim_lignes_achat!$L:$L,dim_lignes_achat!$H:$H,"Nicht gefunden",0)</f>
        <v>650</v>
      </c>
      <c r="H104" s="12">
        <f t="shared" si="6"/>
        <v>650</v>
      </c>
      <c r="I104" t="s">
        <v>228</v>
      </c>
      <c r="L104" t="str">
        <f>IF(ISNUMBER(MATCH(I104,dim_produits!$C:$C,0)),"OK","MANQUANT")</f>
        <v>OK</v>
      </c>
    </row>
    <row r="105" spans="1:12">
      <c r="A105">
        <f t="shared" si="5"/>
        <v>104</v>
      </c>
      <c r="B105">
        <v>9</v>
      </c>
      <c r="C105">
        <f>IFERROR(_xlfn.XLOOKUP(I105,dim_produits!$C:$C,dim_produits!$A:$A,""),"")</f>
        <v>54</v>
      </c>
      <c r="D105">
        <v>11</v>
      </c>
      <c r="E105" s="12">
        <v>800</v>
      </c>
      <c r="F105" s="12">
        <f t="shared" si="7"/>
        <v>8800</v>
      </c>
      <c r="G105" s="12">
        <f>_xlfn.XLOOKUP(I105,dim_lignes_achat!$L:$L,dim_lignes_achat!$H:$H,"Nicht gefunden",0)</f>
        <v>595.83333333333337</v>
      </c>
      <c r="H105" s="12">
        <f t="shared" si="6"/>
        <v>6554.166666666667</v>
      </c>
      <c r="I105" t="s">
        <v>235</v>
      </c>
      <c r="L105" t="str">
        <f>IF(ISNUMBER(MATCH(I105,dim_produits!$C:$C,0)),"OK","MANQUANT")</f>
        <v>OK</v>
      </c>
    </row>
    <row r="106" spans="1:12">
      <c r="A106">
        <f t="shared" si="5"/>
        <v>105</v>
      </c>
      <c r="B106">
        <v>9</v>
      </c>
      <c r="C106">
        <f>IFERROR(_xlfn.XLOOKUP(I106,dim_produits!$C:$C,dim_produits!$A:$A,""),"")</f>
        <v>88</v>
      </c>
      <c r="D106">
        <v>9</v>
      </c>
      <c r="E106" s="12">
        <v>100</v>
      </c>
      <c r="F106" s="12">
        <f t="shared" si="7"/>
        <v>900</v>
      </c>
      <c r="G106" s="12">
        <f>_xlfn.XLOOKUP(I106,dim_lignes_achat!$L:$L,dim_lignes_achat!$H:$H,"Nicht gefunden",0)</f>
        <v>66</v>
      </c>
      <c r="H106" s="12">
        <f t="shared" si="6"/>
        <v>594</v>
      </c>
      <c r="I106" t="s">
        <v>253</v>
      </c>
      <c r="L106" t="str">
        <f>IF(ISNUMBER(MATCH(I106,dim_produits!$C:$C,0)),"OK","MANQUANT")</f>
        <v>OK</v>
      </c>
    </row>
    <row r="107" spans="1:12">
      <c r="A107">
        <f t="shared" si="5"/>
        <v>106</v>
      </c>
      <c r="B107">
        <v>9</v>
      </c>
      <c r="C107">
        <f>IFERROR(_xlfn.XLOOKUP(I107,dim_produits!$C:$C,dim_produits!$A:$A,""),"")</f>
        <v>39</v>
      </c>
      <c r="D107">
        <v>1</v>
      </c>
      <c r="E107" s="12">
        <v>100</v>
      </c>
      <c r="F107" s="12">
        <f t="shared" si="7"/>
        <v>100</v>
      </c>
      <c r="G107" s="12">
        <f>_xlfn.XLOOKUP(I107,dim_lignes_achat!$L:$L,dim_lignes_achat!$H:$H,"Nicht gefunden",0)</f>
        <v>75</v>
      </c>
      <c r="H107" s="12">
        <f t="shared" si="6"/>
        <v>75</v>
      </c>
      <c r="I107" t="s">
        <v>246</v>
      </c>
      <c r="L107" t="str">
        <f>IF(ISNUMBER(MATCH(I107,dim_produits!$C:$C,0)),"OK","MANQUANT")</f>
        <v>OK</v>
      </c>
    </row>
    <row r="108" spans="1:12">
      <c r="A108">
        <f t="shared" si="5"/>
        <v>107</v>
      </c>
      <c r="B108">
        <v>10</v>
      </c>
      <c r="C108">
        <f>IFERROR(_xlfn.XLOOKUP(I108,dim_produits!$C:$C,dim_produits!$A:$A,""),"")</f>
        <v>9</v>
      </c>
      <c r="D108">
        <v>4</v>
      </c>
      <c r="E108" s="12">
        <v>750</v>
      </c>
      <c r="F108" s="12">
        <f t="shared" ref="F108:F171" si="8">D108*E108</f>
        <v>3000</v>
      </c>
      <c r="G108" s="12">
        <f>_xlfn.XLOOKUP(I108,dim_lignes_achat!$L:$L,dim_lignes_achat!$H:$H,"Nicht gefunden",0)</f>
        <v>650</v>
      </c>
      <c r="H108" s="12">
        <f t="shared" si="6"/>
        <v>2600</v>
      </c>
      <c r="I108" t="s">
        <v>222</v>
      </c>
      <c r="L108" t="str">
        <f>IF(ISNUMBER(MATCH(I108,dim_produits!$C:$C,0)),"OK","MANQUANT")</f>
        <v>OK</v>
      </c>
    </row>
    <row r="109" spans="1:12">
      <c r="A109">
        <f t="shared" si="5"/>
        <v>108</v>
      </c>
      <c r="B109">
        <v>10</v>
      </c>
      <c r="C109">
        <f>IFERROR(_xlfn.XLOOKUP(I109,dim_produits!$C:$C,dim_produits!$A:$A,""),"")</f>
        <v>18</v>
      </c>
      <c r="D109">
        <v>3</v>
      </c>
      <c r="E109" s="12">
        <v>750</v>
      </c>
      <c r="F109" s="12">
        <f t="shared" si="8"/>
        <v>2250</v>
      </c>
      <c r="G109" s="12">
        <f>_xlfn.XLOOKUP(I109,dim_lignes_achat!$L:$L,dim_lignes_achat!$H:$H,"Nicht gefunden",0)</f>
        <v>650</v>
      </c>
      <c r="H109" s="12">
        <f t="shared" si="6"/>
        <v>1950</v>
      </c>
      <c r="I109" t="s">
        <v>228</v>
      </c>
      <c r="L109" t="str">
        <f>IF(ISNUMBER(MATCH(I109,dim_produits!$C:$C,0)),"OK","MANQUANT")</f>
        <v>OK</v>
      </c>
    </row>
    <row r="110" spans="1:12">
      <c r="A110">
        <f t="shared" si="5"/>
        <v>109</v>
      </c>
      <c r="B110">
        <v>10</v>
      </c>
      <c r="C110">
        <f>IFERROR(_xlfn.XLOOKUP(I110,dim_produits!$C:$C,dim_produits!$A:$A,""),"")</f>
        <v>54</v>
      </c>
      <c r="D110">
        <v>1</v>
      </c>
      <c r="E110" s="12">
        <v>800</v>
      </c>
      <c r="F110" s="12">
        <f t="shared" si="8"/>
        <v>800</v>
      </c>
      <c r="G110" s="12">
        <f>_xlfn.XLOOKUP(I110,dim_lignes_achat!$L:$L,dim_lignes_achat!$H:$H,"Nicht gefunden",0)</f>
        <v>595.83333333333337</v>
      </c>
      <c r="H110" s="12">
        <f t="shared" si="6"/>
        <v>595.83333333333337</v>
      </c>
      <c r="I110" t="s">
        <v>235</v>
      </c>
      <c r="L110" t="str">
        <f>IF(ISNUMBER(MATCH(I110,dim_produits!$C:$C,0)),"OK","MANQUANT")</f>
        <v>OK</v>
      </c>
    </row>
    <row r="111" spans="1:12">
      <c r="A111">
        <f t="shared" si="5"/>
        <v>110</v>
      </c>
      <c r="B111">
        <v>10</v>
      </c>
      <c r="C111">
        <f>IFERROR(_xlfn.XLOOKUP(I111,dim_produits!$C:$C,dim_produits!$A:$A,""),"")</f>
        <v>7</v>
      </c>
      <c r="D111">
        <v>3</v>
      </c>
      <c r="E111" s="12">
        <v>750</v>
      </c>
      <c r="F111" s="12">
        <f t="shared" si="8"/>
        <v>2250</v>
      </c>
      <c r="G111" s="12">
        <f>_xlfn.XLOOKUP(I111,dim_lignes_achat!$L:$L,dim_lignes_achat!$H:$H,"Nicht gefunden",0)</f>
        <v>600</v>
      </c>
      <c r="H111" s="12">
        <f t="shared" si="6"/>
        <v>1800</v>
      </c>
      <c r="I111" t="s">
        <v>220</v>
      </c>
      <c r="L111" t="str">
        <f>IF(ISNUMBER(MATCH(I111,dim_produits!$C:$C,0)),"OK","MANQUANT")</f>
        <v>OK</v>
      </c>
    </row>
    <row r="112" spans="1:12">
      <c r="A112">
        <f t="shared" si="5"/>
        <v>111</v>
      </c>
      <c r="B112">
        <v>10</v>
      </c>
      <c r="C112">
        <f>IFERROR(_xlfn.XLOOKUP(I112,dim_produits!$C:$C,dim_produits!$A:$A,""),"")</f>
        <v>56</v>
      </c>
      <c r="D112">
        <v>3</v>
      </c>
      <c r="E112" s="12">
        <v>900</v>
      </c>
      <c r="F112" s="12">
        <f t="shared" si="8"/>
        <v>2700</v>
      </c>
      <c r="G112" s="12">
        <f>_xlfn.XLOOKUP(I112,dim_lignes_achat!$L:$L,dim_lignes_achat!$H:$H,"Nicht gefunden",0)</f>
        <v>650</v>
      </c>
      <c r="H112" s="12">
        <f t="shared" si="6"/>
        <v>1950</v>
      </c>
      <c r="I112" t="s">
        <v>238</v>
      </c>
      <c r="L112" t="str">
        <f>IF(ISNUMBER(MATCH(I112,dim_produits!$C:$C,0)),"OK","MANQUANT")</f>
        <v>OK</v>
      </c>
    </row>
    <row r="113" spans="1:12">
      <c r="A113">
        <f t="shared" si="5"/>
        <v>112</v>
      </c>
      <c r="B113">
        <v>10</v>
      </c>
      <c r="C113">
        <f>IFERROR(_xlfn.XLOOKUP(I113,dim_produits!$C:$C,dim_produits!$A:$A,""),"")</f>
        <v>52</v>
      </c>
      <c r="D113">
        <v>1</v>
      </c>
      <c r="E113" s="12">
        <v>600</v>
      </c>
      <c r="F113" s="12">
        <f t="shared" si="8"/>
        <v>600</v>
      </c>
      <c r="G113" s="12">
        <f>_xlfn.XLOOKUP(I113,dim_lignes_achat!$L:$L,dim_lignes_achat!$H:$H,"Nicht gefunden",0)</f>
        <v>470.83333333333331</v>
      </c>
      <c r="H113" s="12">
        <f t="shared" si="6"/>
        <v>470.83333333333331</v>
      </c>
      <c r="I113" t="s">
        <v>237</v>
      </c>
      <c r="L113" t="str">
        <f>IF(ISNUMBER(MATCH(I113,dim_produits!$C:$C,0)),"OK","MANQUANT")</f>
        <v>OK</v>
      </c>
    </row>
    <row r="114" spans="1:12">
      <c r="A114">
        <f t="shared" si="5"/>
        <v>113</v>
      </c>
      <c r="B114">
        <v>10</v>
      </c>
      <c r="C114">
        <f>IFERROR(_xlfn.XLOOKUP(I114,dim_produits!$C:$C,dim_produits!$A:$A,""),"")</f>
        <v>17</v>
      </c>
      <c r="D114">
        <v>1</v>
      </c>
      <c r="E114" s="12">
        <v>600</v>
      </c>
      <c r="F114" s="12">
        <f t="shared" si="8"/>
        <v>600</v>
      </c>
      <c r="G114" s="12">
        <f>_xlfn.XLOOKUP(I114,dim_lignes_achat!$L:$L,dim_lignes_achat!$H:$H,"Nicht gefunden",0)</f>
        <v>450</v>
      </c>
      <c r="H114" s="12">
        <f t="shared" si="6"/>
        <v>450</v>
      </c>
      <c r="I114" t="s">
        <v>225</v>
      </c>
      <c r="L114" t="str">
        <f>IF(ISNUMBER(MATCH(I114,dim_produits!$C:$C,0)),"OK","MANQUANT")</f>
        <v>OK</v>
      </c>
    </row>
    <row r="115" spans="1:12">
      <c r="A115">
        <f t="shared" si="5"/>
        <v>114</v>
      </c>
      <c r="B115">
        <v>10</v>
      </c>
      <c r="C115">
        <f>IFERROR(_xlfn.XLOOKUP(I115,dim_produits!$C:$C,dim_produits!$A:$A,""),"")</f>
        <v>88</v>
      </c>
      <c r="D115">
        <v>1</v>
      </c>
      <c r="E115" s="12">
        <v>100</v>
      </c>
      <c r="F115" s="12">
        <f t="shared" si="8"/>
        <v>100</v>
      </c>
      <c r="G115" s="12">
        <f>_xlfn.XLOOKUP(I115,dim_lignes_achat!$L:$L,dim_lignes_achat!$H:$H,"Nicht gefunden",0)</f>
        <v>66</v>
      </c>
      <c r="H115" s="12">
        <f t="shared" si="6"/>
        <v>66</v>
      </c>
      <c r="I115" t="s">
        <v>253</v>
      </c>
      <c r="L115" t="str">
        <f>IF(ISNUMBER(MATCH(I115,dim_produits!$C:$C,0)),"OK","MANQUANT")</f>
        <v>OK</v>
      </c>
    </row>
    <row r="116" spans="1:12">
      <c r="A116">
        <f t="shared" si="5"/>
        <v>115</v>
      </c>
      <c r="B116">
        <v>10</v>
      </c>
      <c r="C116">
        <f>IFERROR(_xlfn.XLOOKUP(I116,dim_produits!$C:$C,dim_produits!$A:$A,""),"")</f>
        <v>33</v>
      </c>
      <c r="D116">
        <v>1</v>
      </c>
      <c r="E116" s="12">
        <v>400</v>
      </c>
      <c r="F116" s="12">
        <f t="shared" si="8"/>
        <v>400</v>
      </c>
      <c r="G116" s="12">
        <f>_xlfn.XLOOKUP(I116,dim_lignes_achat!$L:$L,dim_lignes_achat!$H:$H,"Nicht gefunden",0)</f>
        <v>225</v>
      </c>
      <c r="H116" s="12">
        <f t="shared" si="6"/>
        <v>225</v>
      </c>
      <c r="I116" t="s">
        <v>212</v>
      </c>
      <c r="L116" t="str">
        <f>IF(ISNUMBER(MATCH(I116,dim_produits!$C:$C,0)),"OK","MANQUANT")</f>
        <v>OK</v>
      </c>
    </row>
    <row r="117" spans="1:12">
      <c r="A117">
        <f t="shared" si="5"/>
        <v>116</v>
      </c>
      <c r="B117">
        <v>11</v>
      </c>
      <c r="C117">
        <f>IFERROR(_xlfn.XLOOKUP(I117,dim_produits!$C:$C,dim_produits!$A:$A,""),"")</f>
        <v>18</v>
      </c>
      <c r="D117">
        <v>1</v>
      </c>
      <c r="E117" s="12">
        <v>750</v>
      </c>
      <c r="F117" s="12">
        <f t="shared" si="8"/>
        <v>750</v>
      </c>
      <c r="G117" s="12">
        <f>_xlfn.XLOOKUP(I117,dim_lignes_achat!$L:$L,dim_lignes_achat!$H:$H,"Nicht gefunden",0)</f>
        <v>650</v>
      </c>
      <c r="H117" s="12">
        <f t="shared" si="6"/>
        <v>650</v>
      </c>
      <c r="I117" t="s">
        <v>228</v>
      </c>
      <c r="L117" t="str">
        <f>IF(ISNUMBER(MATCH(I117,dim_produits!$C:$C,0)),"OK","MANQUANT")</f>
        <v>OK</v>
      </c>
    </row>
    <row r="118" spans="1:12">
      <c r="A118">
        <f t="shared" si="5"/>
        <v>117</v>
      </c>
      <c r="B118">
        <v>11</v>
      </c>
      <c r="C118">
        <f>IFERROR(_xlfn.XLOOKUP(I118,dim_produits!$C:$C,dim_produits!$A:$A,""),"")</f>
        <v>33</v>
      </c>
      <c r="D118">
        <v>2</v>
      </c>
      <c r="E118" s="12">
        <v>400</v>
      </c>
      <c r="F118" s="12">
        <f t="shared" si="8"/>
        <v>800</v>
      </c>
      <c r="G118" s="12">
        <f>_xlfn.XLOOKUP(I118,dim_lignes_achat!$L:$L,dim_lignes_achat!$H:$H,"Nicht gefunden",0)</f>
        <v>225</v>
      </c>
      <c r="H118" s="12">
        <f t="shared" si="6"/>
        <v>450</v>
      </c>
      <c r="I118" t="s">
        <v>212</v>
      </c>
      <c r="L118" t="str">
        <f>IF(ISNUMBER(MATCH(I118,dim_produits!$C:$C,0)),"OK","MANQUANT")</f>
        <v>OK</v>
      </c>
    </row>
    <row r="119" spans="1:12">
      <c r="A119">
        <f t="shared" si="5"/>
        <v>118</v>
      </c>
      <c r="B119">
        <v>11</v>
      </c>
      <c r="C119">
        <f>IFERROR(_xlfn.XLOOKUP(I119,dim_produits!$C:$C,dim_produits!$A:$A,""),"")</f>
        <v>9</v>
      </c>
      <c r="D119">
        <v>30</v>
      </c>
      <c r="E119" s="12">
        <v>750</v>
      </c>
      <c r="F119" s="12">
        <f t="shared" si="8"/>
        <v>22500</v>
      </c>
      <c r="G119" s="12">
        <f>_xlfn.XLOOKUP(I119,dim_lignes_achat!$L:$L,dim_lignes_achat!$H:$H,"Nicht gefunden",0)</f>
        <v>650</v>
      </c>
      <c r="H119" s="12">
        <f>IF(ISNUMBER(G119),G119*D119,"")</f>
        <v>19500</v>
      </c>
      <c r="I119" t="s">
        <v>222</v>
      </c>
      <c r="L119" t="str">
        <f>IF(ISNUMBER(MATCH(I119,dim_produits!$C:$C,0)),"OK","MANQUANT")</f>
        <v>OK</v>
      </c>
    </row>
    <row r="120" spans="1:12">
      <c r="A120">
        <f t="shared" si="5"/>
        <v>119</v>
      </c>
      <c r="B120">
        <v>11</v>
      </c>
      <c r="C120">
        <f>IFERROR(_xlfn.XLOOKUP(I120,dim_produits!$C:$C,dim_produits!$A:$A,""),"")</f>
        <v>92</v>
      </c>
      <c r="D120">
        <v>2</v>
      </c>
      <c r="E120" s="12">
        <v>750</v>
      </c>
      <c r="F120" s="12">
        <f t="shared" si="8"/>
        <v>1500</v>
      </c>
      <c r="G120" s="12">
        <f>_xlfn.XLOOKUP(I120,dim_lignes_achat!$L:$L,dim_lignes_achat!$H:$H,"Nicht gefunden",0)</f>
        <v>413.33333333333331</v>
      </c>
      <c r="H120" s="12">
        <f t="shared" si="6"/>
        <v>826.66666666666663</v>
      </c>
      <c r="I120" t="s">
        <v>375</v>
      </c>
      <c r="L120" t="str">
        <f>IF(ISNUMBER(MATCH(I120,dim_produits!$C:$C,0)),"OK","MANQUANT")</f>
        <v>OK</v>
      </c>
    </row>
    <row r="121" spans="1:12">
      <c r="A121">
        <f t="shared" si="5"/>
        <v>120</v>
      </c>
      <c r="B121">
        <v>11</v>
      </c>
      <c r="C121">
        <f>IFERROR(_xlfn.XLOOKUP(I121,dim_produits!$C:$C,dim_produits!$A:$A,""),"")</f>
        <v>16</v>
      </c>
      <c r="D121">
        <v>1</v>
      </c>
      <c r="E121" s="12">
        <v>750</v>
      </c>
      <c r="F121" s="12">
        <f t="shared" si="8"/>
        <v>750</v>
      </c>
      <c r="G121" s="12">
        <f>_xlfn.XLOOKUP(I121,dim_lignes_achat!$L:$L,dim_lignes_achat!$H:$H,"Nicht gefunden",0)</f>
        <v>650</v>
      </c>
      <c r="H121" s="12">
        <f t="shared" si="6"/>
        <v>650</v>
      </c>
      <c r="I121" t="s">
        <v>419</v>
      </c>
      <c r="L121" t="str">
        <f>IF(ISNUMBER(MATCH(I121,dim_produits!$C:$C,0)),"OK","MANQUANT")</f>
        <v>OK</v>
      </c>
    </row>
    <row r="122" spans="1:12">
      <c r="A122">
        <f t="shared" si="5"/>
        <v>121</v>
      </c>
      <c r="B122">
        <v>11</v>
      </c>
      <c r="C122">
        <f>IFERROR(_xlfn.XLOOKUP(I122,dim_produits!$C:$C,dim_produits!$A:$A,""),"")</f>
        <v>17</v>
      </c>
      <c r="D122">
        <v>16</v>
      </c>
      <c r="E122" s="12">
        <v>600</v>
      </c>
      <c r="F122" s="12">
        <f t="shared" si="8"/>
        <v>9600</v>
      </c>
      <c r="G122" s="12">
        <f>_xlfn.XLOOKUP(I122,dim_lignes_achat!$L:$L,dim_lignes_achat!$H:$H,"Nicht gefunden",0)</f>
        <v>450</v>
      </c>
      <c r="H122" s="12">
        <f t="shared" si="6"/>
        <v>7200</v>
      </c>
      <c r="I122" t="s">
        <v>225</v>
      </c>
      <c r="L122" t="str">
        <f>IF(ISNUMBER(MATCH(I122,dim_produits!$C:$C,0)),"OK","MANQUANT")</f>
        <v>OK</v>
      </c>
    </row>
    <row r="123" spans="1:12">
      <c r="A123">
        <f t="shared" si="5"/>
        <v>122</v>
      </c>
      <c r="B123">
        <v>11</v>
      </c>
      <c r="C123">
        <f>IFERROR(_xlfn.XLOOKUP(I123,dim_produits!$C:$C,dim_produits!$A:$A,""),"")</f>
        <v>7</v>
      </c>
      <c r="D123">
        <v>1</v>
      </c>
      <c r="E123" s="12">
        <v>750</v>
      </c>
      <c r="F123" s="12">
        <f t="shared" si="8"/>
        <v>750</v>
      </c>
      <c r="G123" s="12">
        <f>_xlfn.XLOOKUP(I123,dim_lignes_achat!$L:$L,dim_lignes_achat!$H:$H,"Nicht gefunden",0)</f>
        <v>600</v>
      </c>
      <c r="H123" s="12">
        <f t="shared" si="6"/>
        <v>600</v>
      </c>
      <c r="I123" t="s">
        <v>220</v>
      </c>
      <c r="L123" t="str">
        <f>IF(ISNUMBER(MATCH(I123,dim_produits!$C:$C,0)),"OK","MANQUANT")</f>
        <v>OK</v>
      </c>
    </row>
    <row r="124" spans="1:12">
      <c r="A124">
        <f t="shared" si="5"/>
        <v>123</v>
      </c>
      <c r="B124">
        <v>11</v>
      </c>
      <c r="C124">
        <f>IFERROR(_xlfn.XLOOKUP(I124,dim_produits!$C:$C,dim_produits!$A:$A,""),"")</f>
        <v>15</v>
      </c>
      <c r="D124">
        <v>1</v>
      </c>
      <c r="E124" s="12">
        <v>1000</v>
      </c>
      <c r="F124" s="12">
        <f t="shared" si="8"/>
        <v>1000</v>
      </c>
      <c r="G124" s="12">
        <f>_xlfn.XLOOKUP(I124,dim_lignes_achat!$L:$L,dim_lignes_achat!$H:$H,"Nicht gefunden",0)</f>
        <v>741.66666666666663</v>
      </c>
      <c r="H124" s="12">
        <f t="shared" si="6"/>
        <v>741.66666666666663</v>
      </c>
      <c r="I124" t="s">
        <v>230</v>
      </c>
      <c r="L124" t="str">
        <f>IF(ISNUMBER(MATCH(I124,dim_produits!$C:$C,0)),"OK","MANQUANT")</f>
        <v>OK</v>
      </c>
    </row>
    <row r="125" spans="1:12">
      <c r="A125">
        <f t="shared" si="5"/>
        <v>124</v>
      </c>
      <c r="B125">
        <v>11</v>
      </c>
      <c r="C125">
        <f>IFERROR(_xlfn.XLOOKUP(I125,dim_produits!$C:$C,dim_produits!$A:$A,""),"")</f>
        <v>52</v>
      </c>
      <c r="D125">
        <v>6</v>
      </c>
      <c r="E125" s="12">
        <v>600</v>
      </c>
      <c r="F125" s="12">
        <f t="shared" si="8"/>
        <v>3600</v>
      </c>
      <c r="G125" s="12">
        <f>_xlfn.XLOOKUP(I125,dim_lignes_achat!$L:$L,dim_lignes_achat!$H:$H,"Nicht gefunden",0)</f>
        <v>470.83333333333331</v>
      </c>
      <c r="H125" s="12">
        <f t="shared" si="6"/>
        <v>2825</v>
      </c>
      <c r="I125" t="s">
        <v>237</v>
      </c>
      <c r="L125" t="str">
        <f>IF(ISNUMBER(MATCH(I125,dim_produits!$C:$C,0)),"OK","MANQUANT")</f>
        <v>OK</v>
      </c>
    </row>
    <row r="126" spans="1:12">
      <c r="A126">
        <f t="shared" si="5"/>
        <v>125</v>
      </c>
      <c r="B126">
        <v>11</v>
      </c>
      <c r="C126">
        <f>IFERROR(_xlfn.XLOOKUP(I126,dim_produits!$C:$C,dim_produits!$A:$A,""),"")</f>
        <v>12</v>
      </c>
      <c r="D126">
        <v>5</v>
      </c>
      <c r="E126" s="12">
        <f>3750/5</f>
        <v>750</v>
      </c>
      <c r="F126" s="12">
        <f t="shared" si="8"/>
        <v>3750</v>
      </c>
      <c r="G126" s="12">
        <f>_xlfn.XLOOKUP(I126,dim_lignes_achat!$L:$L,dim_lignes_achat!$H:$H,"Nicht gefunden",0)</f>
        <v>650</v>
      </c>
      <c r="H126" s="12">
        <f t="shared" si="6"/>
        <v>3250</v>
      </c>
      <c r="I126" t="s">
        <v>229</v>
      </c>
      <c r="L126" t="str">
        <f>IF(ISNUMBER(MATCH(I126,dim_produits!$C:$C,0)),"OK","MANQUANT")</f>
        <v>OK</v>
      </c>
    </row>
    <row r="127" spans="1:12">
      <c r="A127">
        <f t="shared" si="5"/>
        <v>126</v>
      </c>
      <c r="B127">
        <v>12</v>
      </c>
      <c r="C127">
        <f>IFERROR(_xlfn.XLOOKUP(I127,dim_produits!$C:$C,dim_produits!$A:$A,""),"")</f>
        <v>88</v>
      </c>
      <c r="D127">
        <v>1</v>
      </c>
      <c r="E127" s="12">
        <v>100</v>
      </c>
      <c r="F127" s="12">
        <f t="shared" si="8"/>
        <v>100</v>
      </c>
      <c r="G127" s="12">
        <f>_xlfn.XLOOKUP(I127,dim_lignes_achat!$L:$L,dim_lignes_achat!$H:$H,"Nicht gefunden",0)</f>
        <v>66</v>
      </c>
      <c r="H127" s="12">
        <f t="shared" si="6"/>
        <v>66</v>
      </c>
      <c r="I127" t="s">
        <v>253</v>
      </c>
      <c r="L127" t="str">
        <f>IF(ISNUMBER(MATCH(I127,dim_produits!$C:$C,0)),"OK","MANQUANT")</f>
        <v>OK</v>
      </c>
    </row>
    <row r="128" spans="1:12">
      <c r="A128">
        <f t="shared" si="5"/>
        <v>127</v>
      </c>
      <c r="B128">
        <v>12</v>
      </c>
      <c r="C128">
        <f>IFERROR(_xlfn.XLOOKUP(I128,dim_produits!$C:$C,dim_produits!$A:$A,""),"")</f>
        <v>18</v>
      </c>
      <c r="D128">
        <v>1</v>
      </c>
      <c r="E128" s="12">
        <v>750</v>
      </c>
      <c r="F128" s="12">
        <f t="shared" si="8"/>
        <v>750</v>
      </c>
      <c r="G128" s="12">
        <f>_xlfn.XLOOKUP(I128,dim_lignes_achat!$L:$L,dim_lignes_achat!$H:$H,"Nicht gefunden",0)</f>
        <v>650</v>
      </c>
      <c r="H128" s="12">
        <f t="shared" si="6"/>
        <v>650</v>
      </c>
      <c r="I128" t="s">
        <v>228</v>
      </c>
      <c r="L128" t="str">
        <f>IF(ISNUMBER(MATCH(I128,dim_produits!$C:$C,0)),"OK","MANQUANT")</f>
        <v>OK</v>
      </c>
    </row>
    <row r="129" spans="1:12">
      <c r="A129">
        <f t="shared" si="5"/>
        <v>128</v>
      </c>
      <c r="B129">
        <v>12</v>
      </c>
      <c r="C129">
        <f>IFERROR(_xlfn.XLOOKUP(I129,dim_produits!$C:$C,dim_produits!$A:$A,""),"")</f>
        <v>12</v>
      </c>
      <c r="D129">
        <v>6</v>
      </c>
      <c r="E129" s="12">
        <v>750</v>
      </c>
      <c r="F129" s="12">
        <f t="shared" si="8"/>
        <v>4500</v>
      </c>
      <c r="G129" s="12">
        <f>_xlfn.XLOOKUP(I129,dim_lignes_achat!$L:$L,dim_lignes_achat!$H:$H,"Nicht gefunden",0)</f>
        <v>650</v>
      </c>
      <c r="H129" s="12">
        <f t="shared" si="6"/>
        <v>3900</v>
      </c>
      <c r="I129" t="s">
        <v>229</v>
      </c>
      <c r="L129" t="str">
        <f>IF(ISNUMBER(MATCH(I129,dim_produits!$C:$C,0)),"OK","MANQUANT")</f>
        <v>OK</v>
      </c>
    </row>
    <row r="130" spans="1:12">
      <c r="A130">
        <f t="shared" si="5"/>
        <v>129</v>
      </c>
      <c r="B130">
        <v>12</v>
      </c>
      <c r="C130">
        <f>IFERROR(_xlfn.XLOOKUP(I130,dim_produits!$C:$C,dim_produits!$A:$A,""),"")</f>
        <v>7</v>
      </c>
      <c r="D130">
        <v>10</v>
      </c>
      <c r="E130" s="12">
        <v>750</v>
      </c>
      <c r="F130" s="12">
        <f t="shared" si="8"/>
        <v>7500</v>
      </c>
      <c r="G130" s="12">
        <f>_xlfn.XLOOKUP(I130,dim_lignes_achat!$L:$L,dim_lignes_achat!$H:$H,"Nicht gefunden",0)</f>
        <v>600</v>
      </c>
      <c r="H130" s="12">
        <f t="shared" si="6"/>
        <v>6000</v>
      </c>
      <c r="I130" t="s">
        <v>220</v>
      </c>
      <c r="L130" t="str">
        <f>IF(ISNUMBER(MATCH(I130,dim_produits!$C:$C,0)),"OK","MANQUANT")</f>
        <v>OK</v>
      </c>
    </row>
    <row r="131" spans="1:12">
      <c r="A131">
        <f t="shared" si="5"/>
        <v>130</v>
      </c>
      <c r="B131">
        <v>12</v>
      </c>
      <c r="C131">
        <f>IFERROR(_xlfn.XLOOKUP(I131,dim_produits!$C:$C,dim_produits!$A:$A,""),"")</f>
        <v>54</v>
      </c>
      <c r="D131">
        <v>4</v>
      </c>
      <c r="E131" s="12">
        <v>800</v>
      </c>
      <c r="F131" s="12">
        <f t="shared" si="8"/>
        <v>3200</v>
      </c>
      <c r="G131" s="12">
        <f>_xlfn.XLOOKUP(I131,dim_lignes_achat!$L:$L,dim_lignes_achat!$H:$H,"Nicht gefunden",0)</f>
        <v>595.83333333333337</v>
      </c>
      <c r="H131" s="12">
        <f t="shared" si="6"/>
        <v>2383.3333333333335</v>
      </c>
      <c r="I131" t="s">
        <v>235</v>
      </c>
      <c r="L131" t="str">
        <f>IF(ISNUMBER(MATCH(I131,dim_produits!$C:$C,0)),"OK","MANQUANT")</f>
        <v>OK</v>
      </c>
    </row>
    <row r="132" spans="1:12">
      <c r="A132">
        <f t="shared" ref="A132:A195" si="9">A131+1</f>
        <v>131</v>
      </c>
      <c r="B132">
        <v>12</v>
      </c>
      <c r="C132">
        <f>IFERROR(_xlfn.XLOOKUP(I132,dim_produits!$C:$C,dim_produits!$A:$A,""),"")</f>
        <v>52</v>
      </c>
      <c r="D132">
        <v>1</v>
      </c>
      <c r="E132" s="12">
        <v>600</v>
      </c>
      <c r="F132" s="12">
        <f t="shared" si="8"/>
        <v>600</v>
      </c>
      <c r="G132" s="12">
        <f>_xlfn.XLOOKUP(I132,dim_lignes_achat!$L:$L,dim_lignes_achat!$H:$H,"Nicht gefunden",0)</f>
        <v>470.83333333333331</v>
      </c>
      <c r="H132" s="12">
        <f t="shared" ref="H132:H195" si="10">IF(ISNUMBER(G132),G132*D132,"")</f>
        <v>470.83333333333331</v>
      </c>
      <c r="I132" t="s">
        <v>237</v>
      </c>
      <c r="L132" t="str">
        <f>IF(ISNUMBER(MATCH(I132,dim_produits!$C:$C,0)),"OK","MANQUANT")</f>
        <v>OK</v>
      </c>
    </row>
    <row r="133" spans="1:12">
      <c r="A133">
        <f t="shared" si="9"/>
        <v>132</v>
      </c>
      <c r="B133">
        <v>13</v>
      </c>
      <c r="C133">
        <f>IFERROR(_xlfn.XLOOKUP(I133,dim_produits!$C:$C,dim_produits!$A:$A,""),"")</f>
        <v>17</v>
      </c>
      <c r="D133">
        <v>12</v>
      </c>
      <c r="E133" s="12">
        <v>600</v>
      </c>
      <c r="F133" s="12">
        <f t="shared" si="8"/>
        <v>7200</v>
      </c>
      <c r="G133" s="12">
        <f>_xlfn.XLOOKUP(I133,dim_lignes_achat!$L:$L,dim_lignes_achat!$H:$H,"Nicht gefunden",0)</f>
        <v>450</v>
      </c>
      <c r="H133" s="12">
        <f t="shared" si="10"/>
        <v>5400</v>
      </c>
      <c r="I133" t="s">
        <v>225</v>
      </c>
      <c r="L133" t="str">
        <f>IF(ISNUMBER(MATCH(I133,dim_produits!$C:$C,0)),"OK","MANQUANT")</f>
        <v>OK</v>
      </c>
    </row>
    <row r="134" spans="1:12">
      <c r="A134">
        <f t="shared" si="9"/>
        <v>133</v>
      </c>
      <c r="B134">
        <v>13</v>
      </c>
      <c r="C134">
        <f>IFERROR(_xlfn.XLOOKUP(I134,dim_produits!$C:$C,dim_produits!$A:$A,""),"")</f>
        <v>9</v>
      </c>
      <c r="D134">
        <v>11</v>
      </c>
      <c r="E134" s="12">
        <v>750</v>
      </c>
      <c r="F134" s="12">
        <f t="shared" si="8"/>
        <v>8250</v>
      </c>
      <c r="G134" s="12">
        <f>_xlfn.XLOOKUP(I134,dim_lignes_achat!$L:$L,dim_lignes_achat!$H:$H,"Nicht gefunden",0)</f>
        <v>650</v>
      </c>
      <c r="H134" s="12">
        <f t="shared" si="10"/>
        <v>7150</v>
      </c>
      <c r="I134" t="s">
        <v>222</v>
      </c>
      <c r="L134" t="str">
        <f>IF(ISNUMBER(MATCH(I134,dim_produits!$C:$C,0)),"OK","MANQUANT")</f>
        <v>OK</v>
      </c>
    </row>
    <row r="135" spans="1:12">
      <c r="A135">
        <f t="shared" si="9"/>
        <v>134</v>
      </c>
      <c r="B135">
        <v>13</v>
      </c>
      <c r="C135">
        <f>IFERROR(_xlfn.XLOOKUP(I135,dim_produits!$C:$C,dim_produits!$A:$A,""),"")</f>
        <v>52</v>
      </c>
      <c r="D135">
        <v>3</v>
      </c>
      <c r="E135" s="12">
        <v>600</v>
      </c>
      <c r="F135" s="12">
        <f t="shared" si="8"/>
        <v>1800</v>
      </c>
      <c r="G135" s="12">
        <f>_xlfn.XLOOKUP(I135,dim_lignes_achat!$L:$L,dim_lignes_achat!$H:$H,"Nicht gefunden",0)</f>
        <v>470.83333333333331</v>
      </c>
      <c r="H135" s="12">
        <f t="shared" si="10"/>
        <v>1412.5</v>
      </c>
      <c r="I135" t="s">
        <v>237</v>
      </c>
      <c r="L135" t="str">
        <f>IF(ISNUMBER(MATCH(I135,dim_produits!$C:$C,0)),"OK","MANQUANT")</f>
        <v>OK</v>
      </c>
    </row>
    <row r="136" spans="1:12">
      <c r="A136">
        <f t="shared" si="9"/>
        <v>135</v>
      </c>
      <c r="B136">
        <v>13</v>
      </c>
      <c r="C136">
        <f>IFERROR(_xlfn.XLOOKUP(I136,dim_produits!$C:$C,dim_produits!$A:$A,""),"")</f>
        <v>74</v>
      </c>
      <c r="D136">
        <v>2</v>
      </c>
      <c r="E136" s="12">
        <v>800</v>
      </c>
      <c r="F136" s="12">
        <f t="shared" si="8"/>
        <v>1600</v>
      </c>
      <c r="G136" s="12">
        <f>_xlfn.XLOOKUP(I136,dim_lignes_achat!$L:$L,dim_lignes_achat!$H:$H,"Nicht gefunden",0)</f>
        <v>700</v>
      </c>
      <c r="H136" s="12">
        <f t="shared" si="10"/>
        <v>1400</v>
      </c>
      <c r="I136" t="s">
        <v>198</v>
      </c>
      <c r="L136" t="str">
        <f>IF(ISNUMBER(MATCH(I136,dim_produits!$C:$C,0)),"OK","MANQUANT")</f>
        <v>OK</v>
      </c>
    </row>
    <row r="137" spans="1:12">
      <c r="A137">
        <f t="shared" si="9"/>
        <v>136</v>
      </c>
      <c r="B137">
        <v>13</v>
      </c>
      <c r="C137">
        <f>IFERROR(_xlfn.XLOOKUP(I137,dim_produits!$C:$C,dim_produits!$A:$A,""),"")</f>
        <v>7</v>
      </c>
      <c r="D137">
        <v>18</v>
      </c>
      <c r="E137" s="12">
        <v>750</v>
      </c>
      <c r="F137" s="12">
        <f t="shared" si="8"/>
        <v>13500</v>
      </c>
      <c r="G137" s="12">
        <f>_xlfn.XLOOKUP(I137,dim_lignes_achat!$L:$L,dim_lignes_achat!$H:$H,"Nicht gefunden",0)</f>
        <v>600</v>
      </c>
      <c r="H137" s="12">
        <f t="shared" si="10"/>
        <v>10800</v>
      </c>
      <c r="I137" t="s">
        <v>220</v>
      </c>
      <c r="L137" t="str">
        <f>IF(ISNUMBER(MATCH(I137,dim_produits!$C:$C,0)),"OK","MANQUANT")</f>
        <v>OK</v>
      </c>
    </row>
    <row r="138" spans="1:12">
      <c r="A138">
        <f t="shared" si="9"/>
        <v>137</v>
      </c>
      <c r="B138">
        <v>13</v>
      </c>
      <c r="C138">
        <f>IFERROR(_xlfn.XLOOKUP(I138,dim_produits!$C:$C,dim_produits!$A:$A,""),"")</f>
        <v>84</v>
      </c>
      <c r="D138">
        <v>1</v>
      </c>
      <c r="E138" s="12">
        <v>700</v>
      </c>
      <c r="F138" s="12">
        <f t="shared" si="8"/>
        <v>700</v>
      </c>
      <c r="G138" s="12">
        <f>_xlfn.XLOOKUP(I138,dim_lignes_achat!$L:$L,dim_lignes_achat!$H:$H,"Nicht gefunden",0)</f>
        <v>583.33333333333337</v>
      </c>
      <c r="H138" s="12">
        <f t="shared" si="10"/>
        <v>583.33333333333337</v>
      </c>
      <c r="I138" t="s">
        <v>209</v>
      </c>
      <c r="L138" t="str">
        <f>IF(ISNUMBER(MATCH(I138,dim_produits!$C:$C,0)),"OK","MANQUANT")</f>
        <v>OK</v>
      </c>
    </row>
    <row r="139" spans="1:12">
      <c r="A139">
        <f t="shared" si="9"/>
        <v>138</v>
      </c>
      <c r="B139">
        <v>13</v>
      </c>
      <c r="C139">
        <f>IFERROR(_xlfn.XLOOKUP(I139,dim_produits!$C:$C,dim_produits!$A:$A,""),"")</f>
        <v>72</v>
      </c>
      <c r="D139">
        <v>2</v>
      </c>
      <c r="E139" s="12">
        <v>500</v>
      </c>
      <c r="F139" s="12">
        <f t="shared" si="8"/>
        <v>1000</v>
      </c>
      <c r="G139" s="12">
        <f>_xlfn.XLOOKUP(I139,dim_lignes_achat!$L:$L,dim_lignes_achat!$H:$H,"Nicht gefunden",0)</f>
        <v>416.66666666666669</v>
      </c>
      <c r="H139" s="12">
        <f t="shared" si="10"/>
        <v>833.33333333333337</v>
      </c>
      <c r="I139" t="s">
        <v>195</v>
      </c>
      <c r="L139" t="str">
        <f>IF(ISNUMBER(MATCH(I139,dim_produits!$C:$C,0)),"OK","MANQUANT")</f>
        <v>OK</v>
      </c>
    </row>
    <row r="140" spans="1:12">
      <c r="A140">
        <f t="shared" si="9"/>
        <v>139</v>
      </c>
      <c r="B140">
        <v>13</v>
      </c>
      <c r="C140">
        <f>IFERROR(_xlfn.XLOOKUP(I140,dim_produits!$C:$C,dim_produits!$A:$A,""),"")</f>
        <v>56</v>
      </c>
      <c r="D140">
        <v>6</v>
      </c>
      <c r="E140" s="12">
        <v>900</v>
      </c>
      <c r="F140" s="12">
        <f t="shared" si="8"/>
        <v>5400</v>
      </c>
      <c r="G140" s="12">
        <f>_xlfn.XLOOKUP(I140,dim_lignes_achat!$L:$L,dim_lignes_achat!$H:$H,"Nicht gefunden",0)</f>
        <v>650</v>
      </c>
      <c r="H140" s="12">
        <f t="shared" si="10"/>
        <v>3900</v>
      </c>
      <c r="I140" t="s">
        <v>238</v>
      </c>
      <c r="L140" t="str">
        <f>IF(ISNUMBER(MATCH(I140,dim_produits!$C:$C,0)),"OK","MANQUANT")</f>
        <v>OK</v>
      </c>
    </row>
    <row r="141" spans="1:12">
      <c r="A141">
        <f t="shared" si="9"/>
        <v>140</v>
      </c>
      <c r="B141">
        <v>13</v>
      </c>
      <c r="C141">
        <f>IFERROR(_xlfn.XLOOKUP(I141,dim_produits!$C:$C,dim_produits!$A:$A,""),"")</f>
        <v>16</v>
      </c>
      <c r="D141">
        <v>3</v>
      </c>
      <c r="E141" s="12">
        <v>750</v>
      </c>
      <c r="F141" s="12">
        <f t="shared" si="8"/>
        <v>2250</v>
      </c>
      <c r="G141" s="12">
        <f>_xlfn.XLOOKUP(I141,dim_lignes_achat!$L:$L,dim_lignes_achat!$H:$H,"Nicht gefunden",0)</f>
        <v>650</v>
      </c>
      <c r="H141" s="12">
        <f t="shared" si="10"/>
        <v>1950</v>
      </c>
      <c r="I141" t="s">
        <v>419</v>
      </c>
      <c r="L141" t="str">
        <f>IF(ISNUMBER(MATCH(I141,dim_produits!$C:$C,0)),"OK","MANQUANT")</f>
        <v>OK</v>
      </c>
    </row>
    <row r="142" spans="1:12">
      <c r="A142">
        <f t="shared" si="9"/>
        <v>141</v>
      </c>
      <c r="B142">
        <v>13</v>
      </c>
      <c r="C142">
        <f>IFERROR(_xlfn.XLOOKUP(I142,dim_produits!$C:$C,dim_produits!$A:$A,""),"")</f>
        <v>15</v>
      </c>
      <c r="D142">
        <v>2</v>
      </c>
      <c r="E142" s="12">
        <v>1000</v>
      </c>
      <c r="F142" s="12">
        <f t="shared" si="8"/>
        <v>2000</v>
      </c>
      <c r="G142" s="12">
        <f>_xlfn.XLOOKUP(I142,dim_lignes_achat!$L:$L,dim_lignes_achat!$H:$H,"Nicht gefunden",0)</f>
        <v>741.66666666666663</v>
      </c>
      <c r="H142" s="12">
        <f t="shared" si="10"/>
        <v>1483.3333333333333</v>
      </c>
      <c r="I142" t="s">
        <v>230</v>
      </c>
      <c r="L142" t="str">
        <f>IF(ISNUMBER(MATCH(I142,dim_produits!$C:$C,0)),"OK","MANQUANT")</f>
        <v>OK</v>
      </c>
    </row>
    <row r="143" spans="1:12">
      <c r="A143">
        <f t="shared" si="9"/>
        <v>142</v>
      </c>
      <c r="B143">
        <v>13</v>
      </c>
      <c r="C143">
        <f>IFERROR(_xlfn.XLOOKUP(I143,dim_produits!$C:$C,dim_produits!$A:$A,""),"")</f>
        <v>18</v>
      </c>
      <c r="D143">
        <v>1</v>
      </c>
      <c r="E143" s="12">
        <v>750</v>
      </c>
      <c r="F143" s="12">
        <f t="shared" si="8"/>
        <v>750</v>
      </c>
      <c r="G143" s="12">
        <f>_xlfn.XLOOKUP(I143,dim_lignes_achat!$L:$L,dim_lignes_achat!$H:$H,"Nicht gefunden",0)</f>
        <v>650</v>
      </c>
      <c r="H143" s="12">
        <f t="shared" si="10"/>
        <v>650</v>
      </c>
      <c r="I143" t="s">
        <v>228</v>
      </c>
      <c r="L143" t="str">
        <f>IF(ISNUMBER(MATCH(I143,dim_produits!$C:$C,0)),"OK","MANQUANT")</f>
        <v>OK</v>
      </c>
    </row>
    <row r="144" spans="1:12">
      <c r="A144">
        <f t="shared" si="9"/>
        <v>143</v>
      </c>
      <c r="B144">
        <v>13</v>
      </c>
      <c r="C144">
        <f>IFERROR(_xlfn.XLOOKUP(I144,dim_produits!$C:$C,dim_produits!$A:$A,""),"")</f>
        <v>12</v>
      </c>
      <c r="D144">
        <v>1</v>
      </c>
      <c r="E144" s="12">
        <v>750</v>
      </c>
      <c r="F144" s="12">
        <f t="shared" si="8"/>
        <v>750</v>
      </c>
      <c r="G144" s="12">
        <f>_xlfn.XLOOKUP(I144,dim_lignes_achat!$L:$L,dim_lignes_achat!$H:$H,"Nicht gefunden",0)</f>
        <v>650</v>
      </c>
      <c r="H144" s="12">
        <f t="shared" si="10"/>
        <v>650</v>
      </c>
      <c r="I144" t="s">
        <v>229</v>
      </c>
      <c r="L144" t="str">
        <f>IF(ISNUMBER(MATCH(I144,dim_produits!$C:$C,0)),"OK","MANQUANT")</f>
        <v>OK</v>
      </c>
    </row>
    <row r="145" spans="1:12">
      <c r="A145">
        <f t="shared" si="9"/>
        <v>144</v>
      </c>
      <c r="B145">
        <v>14</v>
      </c>
      <c r="C145">
        <f>IFERROR(_xlfn.XLOOKUP(I145,dim_produits!$C:$C,dim_produits!$A:$A,""),"")</f>
        <v>17</v>
      </c>
      <c r="D145">
        <v>1</v>
      </c>
      <c r="E145" s="12">
        <v>600</v>
      </c>
      <c r="F145" s="12">
        <f t="shared" si="8"/>
        <v>600</v>
      </c>
      <c r="G145" s="12">
        <f>_xlfn.XLOOKUP(I145,dim_lignes_achat!$L:$L,dim_lignes_achat!$H:$H,"Nicht gefunden",0)</f>
        <v>450</v>
      </c>
      <c r="H145" s="12">
        <f t="shared" si="10"/>
        <v>450</v>
      </c>
      <c r="I145" t="s">
        <v>225</v>
      </c>
      <c r="L145" t="str">
        <f>IF(ISNUMBER(MATCH(I145,dim_produits!$C:$C,0)),"OK","MANQUANT")</f>
        <v>OK</v>
      </c>
    </row>
    <row r="146" spans="1:12">
      <c r="A146">
        <f t="shared" si="9"/>
        <v>145</v>
      </c>
      <c r="B146">
        <v>14</v>
      </c>
      <c r="C146">
        <f>IFERROR(_xlfn.XLOOKUP(I146,dim_produits!$C:$C,dim_produits!$A:$A,""),"")</f>
        <v>12</v>
      </c>
      <c r="D146">
        <v>1</v>
      </c>
      <c r="E146" s="12">
        <v>750</v>
      </c>
      <c r="F146" s="12">
        <f t="shared" si="8"/>
        <v>750</v>
      </c>
      <c r="G146" s="12">
        <f>_xlfn.XLOOKUP(I146,dim_lignes_achat!$L:$L,dim_lignes_achat!$H:$H,"Nicht gefunden",0)</f>
        <v>650</v>
      </c>
      <c r="H146" s="12">
        <f t="shared" si="10"/>
        <v>650</v>
      </c>
      <c r="I146" t="s">
        <v>229</v>
      </c>
      <c r="L146" t="str">
        <f>IF(ISNUMBER(MATCH(I146,dim_produits!$C:$C,0)),"OK","MANQUANT")</f>
        <v>OK</v>
      </c>
    </row>
    <row r="147" spans="1:12">
      <c r="A147">
        <f t="shared" si="9"/>
        <v>146</v>
      </c>
      <c r="B147">
        <v>14</v>
      </c>
      <c r="C147">
        <f>IFERROR(_xlfn.XLOOKUP(I147,dim_produits!$C:$C,dim_produits!$A:$A,""),"")</f>
        <v>88</v>
      </c>
      <c r="D147">
        <v>1</v>
      </c>
      <c r="E147" s="12">
        <v>100</v>
      </c>
      <c r="F147" s="12">
        <f t="shared" si="8"/>
        <v>100</v>
      </c>
      <c r="G147" s="12">
        <f>_xlfn.XLOOKUP(I147,dim_lignes_achat!$L:$L,dim_lignes_achat!$H:$H,"Nicht gefunden",0)</f>
        <v>66</v>
      </c>
      <c r="H147" s="12">
        <f t="shared" si="10"/>
        <v>66</v>
      </c>
      <c r="I147" t="s">
        <v>253</v>
      </c>
      <c r="L147" t="str">
        <f>IF(ISNUMBER(MATCH(I147,dim_produits!$C:$C,0)),"OK","MANQUANT")</f>
        <v>OK</v>
      </c>
    </row>
    <row r="148" spans="1:12">
      <c r="A148">
        <f t="shared" si="9"/>
        <v>147</v>
      </c>
      <c r="B148">
        <v>14</v>
      </c>
      <c r="C148">
        <f>IFERROR(_xlfn.XLOOKUP(I148,dim_produits!$C:$C,dim_produits!$A:$A,""),"")</f>
        <v>9</v>
      </c>
      <c r="D148">
        <v>4</v>
      </c>
      <c r="E148" s="12">
        <v>750</v>
      </c>
      <c r="F148" s="12">
        <f t="shared" si="8"/>
        <v>3000</v>
      </c>
      <c r="G148" s="12">
        <f>_xlfn.XLOOKUP(I148,dim_lignes_achat!$L:$L,dim_lignes_achat!$H:$H,"Nicht gefunden",0)</f>
        <v>650</v>
      </c>
      <c r="H148" s="12">
        <f t="shared" si="10"/>
        <v>2600</v>
      </c>
      <c r="I148" t="s">
        <v>222</v>
      </c>
      <c r="L148" t="str">
        <f>IF(ISNUMBER(MATCH(I148,dim_produits!$C:$C,0)),"OK","MANQUANT")</f>
        <v>OK</v>
      </c>
    </row>
    <row r="149" spans="1:12">
      <c r="A149">
        <f t="shared" si="9"/>
        <v>148</v>
      </c>
      <c r="B149">
        <v>14</v>
      </c>
      <c r="C149">
        <f>IFERROR(_xlfn.XLOOKUP(I149,dim_produits!$C:$C,dim_produits!$A:$A,""),"")</f>
        <v>11</v>
      </c>
      <c r="D149">
        <v>1</v>
      </c>
      <c r="E149" s="12">
        <v>750</v>
      </c>
      <c r="F149" s="12">
        <f t="shared" si="8"/>
        <v>750</v>
      </c>
      <c r="G149" s="12">
        <f>_xlfn.XLOOKUP(I149,dim_lignes_achat!$L:$L,dim_lignes_achat!$H:$H,"Nicht gefunden",0)</f>
        <v>650</v>
      </c>
      <c r="H149" s="12">
        <f t="shared" si="10"/>
        <v>650</v>
      </c>
      <c r="I149" t="s">
        <v>223</v>
      </c>
      <c r="L149" t="str">
        <f>IF(ISNUMBER(MATCH(I149,dim_produits!$C:$C,0)),"OK","MANQUANT")</f>
        <v>OK</v>
      </c>
    </row>
    <row r="150" spans="1:12">
      <c r="A150">
        <f t="shared" si="9"/>
        <v>149</v>
      </c>
      <c r="B150">
        <v>14</v>
      </c>
      <c r="C150">
        <f>IFERROR(_xlfn.XLOOKUP(I150,dim_produits!$C:$C,dim_produits!$A:$A,""),"")</f>
        <v>84</v>
      </c>
      <c r="D150">
        <v>1</v>
      </c>
      <c r="E150" s="12">
        <v>700</v>
      </c>
      <c r="F150" s="12">
        <f t="shared" si="8"/>
        <v>700</v>
      </c>
      <c r="G150" s="12">
        <f>_xlfn.XLOOKUP(I150,dim_lignes_achat!$L:$L,dim_lignes_achat!$H:$H,"Nicht gefunden",0)</f>
        <v>583.33333333333337</v>
      </c>
      <c r="H150" s="12">
        <f t="shared" si="10"/>
        <v>583.33333333333337</v>
      </c>
      <c r="I150" t="s">
        <v>209</v>
      </c>
      <c r="L150" t="str">
        <f>IF(ISNUMBER(MATCH(I150,dim_produits!$C:$C,0)),"OK","MANQUANT")</f>
        <v>OK</v>
      </c>
    </row>
    <row r="151" spans="1:12">
      <c r="A151">
        <f t="shared" si="9"/>
        <v>150</v>
      </c>
      <c r="B151">
        <v>14</v>
      </c>
      <c r="C151">
        <f>IFERROR(_xlfn.XLOOKUP(I151,dim_produits!$C:$C,dim_produits!$A:$A,""),"")</f>
        <v>7</v>
      </c>
      <c r="D151">
        <v>6</v>
      </c>
      <c r="E151" s="12">
        <v>750</v>
      </c>
      <c r="F151" s="12">
        <f t="shared" si="8"/>
        <v>4500</v>
      </c>
      <c r="G151" s="12">
        <f>_xlfn.XLOOKUP(I151,dim_lignes_achat!$L:$L,dim_lignes_achat!$H:$H,"Nicht gefunden",0)</f>
        <v>600</v>
      </c>
      <c r="H151" s="12">
        <f t="shared" si="10"/>
        <v>3600</v>
      </c>
      <c r="I151" t="s">
        <v>220</v>
      </c>
      <c r="L151" t="str">
        <f>IF(ISNUMBER(MATCH(I151,dim_produits!$C:$C,0)),"OK","MANQUANT")</f>
        <v>OK</v>
      </c>
    </row>
    <row r="152" spans="1:12">
      <c r="A152">
        <f t="shared" si="9"/>
        <v>151</v>
      </c>
      <c r="B152">
        <v>14</v>
      </c>
      <c r="C152">
        <f>IFERROR(_xlfn.XLOOKUP(I152,dim_produits!$C:$C,dim_produits!$A:$A,""),"")</f>
        <v>56</v>
      </c>
      <c r="D152">
        <v>5</v>
      </c>
      <c r="E152" s="12">
        <v>900</v>
      </c>
      <c r="F152" s="12">
        <f t="shared" si="8"/>
        <v>4500</v>
      </c>
      <c r="G152" s="12">
        <f>_xlfn.XLOOKUP(I152,dim_lignes_achat!$L:$L,dim_lignes_achat!$H:$H,"Nicht gefunden",0)</f>
        <v>650</v>
      </c>
      <c r="H152" s="12">
        <f t="shared" si="10"/>
        <v>3250</v>
      </c>
      <c r="I152" t="s">
        <v>238</v>
      </c>
      <c r="L152" t="str">
        <f>IF(ISNUMBER(MATCH(I152,dim_produits!$C:$C,0)),"OK","MANQUANT")</f>
        <v>OK</v>
      </c>
    </row>
    <row r="153" spans="1:12">
      <c r="A153">
        <f t="shared" si="9"/>
        <v>152</v>
      </c>
      <c r="B153">
        <v>14</v>
      </c>
      <c r="C153">
        <f>IFERROR(_xlfn.XLOOKUP(I153,dim_produits!$C:$C,dim_produits!$A:$A,""),"")</f>
        <v>74</v>
      </c>
      <c r="D153">
        <v>1</v>
      </c>
      <c r="E153" s="12">
        <v>800</v>
      </c>
      <c r="F153" s="12">
        <f t="shared" si="8"/>
        <v>800</v>
      </c>
      <c r="G153" s="12">
        <f>_xlfn.XLOOKUP(I153,dim_lignes_achat!$L:$L,dim_lignes_achat!$H:$H,"Nicht gefunden",0)</f>
        <v>700</v>
      </c>
      <c r="H153" s="12">
        <f t="shared" si="10"/>
        <v>700</v>
      </c>
      <c r="I153" t="s">
        <v>198</v>
      </c>
      <c r="L153" t="str">
        <f>IF(ISNUMBER(MATCH(I153,dim_produits!$C:$C,0)),"OK","MANQUANT")</f>
        <v>OK</v>
      </c>
    </row>
    <row r="154" spans="1:12">
      <c r="A154">
        <f t="shared" si="9"/>
        <v>153</v>
      </c>
      <c r="B154">
        <v>14</v>
      </c>
      <c r="C154">
        <f>IFERROR(_xlfn.XLOOKUP(I154,dim_produits!$C:$C,dim_produits!$A:$A,""),"")</f>
        <v>52</v>
      </c>
      <c r="D154">
        <v>4</v>
      </c>
      <c r="E154" s="12">
        <v>600</v>
      </c>
      <c r="F154" s="12">
        <f t="shared" si="8"/>
        <v>2400</v>
      </c>
      <c r="G154" s="12">
        <f>_xlfn.XLOOKUP(I154,dim_lignes_achat!$L:$L,dim_lignes_achat!$H:$H,"Nicht gefunden",0)</f>
        <v>470.83333333333331</v>
      </c>
      <c r="H154" s="12">
        <f t="shared" si="10"/>
        <v>1883.3333333333333</v>
      </c>
      <c r="I154" t="s">
        <v>237</v>
      </c>
      <c r="L154" t="str">
        <f>IF(ISNUMBER(MATCH(I154,dim_produits!$C:$C,0)),"OK","MANQUANT")</f>
        <v>OK</v>
      </c>
    </row>
    <row r="155" spans="1:12">
      <c r="A155">
        <f t="shared" si="9"/>
        <v>154</v>
      </c>
      <c r="B155">
        <v>14</v>
      </c>
      <c r="C155">
        <f>IFERROR(_xlfn.XLOOKUP(I155,dim_produits!$C:$C,dim_produits!$A:$A,""),"")</f>
        <v>54</v>
      </c>
      <c r="D155">
        <v>4</v>
      </c>
      <c r="E155" s="12">
        <v>800</v>
      </c>
      <c r="F155" s="12">
        <f t="shared" si="8"/>
        <v>3200</v>
      </c>
      <c r="G155" s="12">
        <f>_xlfn.XLOOKUP(I155,dim_lignes_achat!$L:$L,dim_lignes_achat!$H:$H,"Nicht gefunden",0)</f>
        <v>595.83333333333337</v>
      </c>
      <c r="H155" s="12">
        <f t="shared" si="10"/>
        <v>2383.3333333333335</v>
      </c>
      <c r="I155" t="s">
        <v>235</v>
      </c>
      <c r="L155" t="str">
        <f>IF(ISNUMBER(MATCH(I155,dim_produits!$C:$C,0)),"OK","MANQUANT")</f>
        <v>OK</v>
      </c>
    </row>
    <row r="156" spans="1:12">
      <c r="A156">
        <f t="shared" si="9"/>
        <v>155</v>
      </c>
      <c r="B156">
        <v>14</v>
      </c>
      <c r="C156">
        <f>IFERROR(_xlfn.XLOOKUP(I156,dim_produits!$C:$C,dim_produits!$A:$A,""),"")</f>
        <v>13</v>
      </c>
      <c r="D156">
        <v>1</v>
      </c>
      <c r="E156" s="12">
        <v>800</v>
      </c>
      <c r="F156" s="12">
        <f t="shared" si="8"/>
        <v>800</v>
      </c>
      <c r="G156" s="12">
        <f>_xlfn.XLOOKUP(I156,dim_lignes_achat!$L:$L,dim_lignes_achat!$H:$H,"Nicht gefunden",0)</f>
        <v>700</v>
      </c>
      <c r="H156" s="12">
        <f t="shared" si="10"/>
        <v>700</v>
      </c>
      <c r="I156" t="s">
        <v>233</v>
      </c>
      <c r="L156" t="str">
        <f>IF(ISNUMBER(MATCH(I156,dim_produits!$C:$C,0)),"OK","MANQUANT")</f>
        <v>OK</v>
      </c>
    </row>
    <row r="157" spans="1:12">
      <c r="A157">
        <f t="shared" si="9"/>
        <v>156</v>
      </c>
      <c r="B157">
        <v>15</v>
      </c>
      <c r="C157">
        <f>IFERROR(_xlfn.XLOOKUP(I157,dim_produits!$C:$C,dim_produits!$A:$A,""),"")</f>
        <v>52</v>
      </c>
      <c r="D157">
        <v>9</v>
      </c>
      <c r="E157" s="12">
        <v>600</v>
      </c>
      <c r="F157" s="12">
        <f t="shared" si="8"/>
        <v>5400</v>
      </c>
      <c r="G157" s="12">
        <f>_xlfn.XLOOKUP(I157,dim_lignes_achat!$L:$L,dim_lignes_achat!$H:$H,"Nicht gefunden",0)</f>
        <v>470.83333333333331</v>
      </c>
      <c r="H157" s="12">
        <f t="shared" si="10"/>
        <v>4237.5</v>
      </c>
      <c r="I157" t="s">
        <v>237</v>
      </c>
      <c r="L157" t="str">
        <f>IF(ISNUMBER(MATCH(I157,dim_produits!$C:$C,0)),"OK","MANQUANT")</f>
        <v>OK</v>
      </c>
    </row>
    <row r="158" spans="1:12">
      <c r="A158">
        <f t="shared" si="9"/>
        <v>157</v>
      </c>
      <c r="B158">
        <v>15</v>
      </c>
      <c r="C158">
        <f>IFERROR(_xlfn.XLOOKUP(I158,dim_produits!$C:$C,dim_produits!$A:$A,""),"")</f>
        <v>17</v>
      </c>
      <c r="D158">
        <v>5</v>
      </c>
      <c r="E158" s="12">
        <v>600</v>
      </c>
      <c r="F158" s="12">
        <f t="shared" si="8"/>
        <v>3000</v>
      </c>
      <c r="G158" s="12">
        <f>_xlfn.XLOOKUP(I158,dim_lignes_achat!$L:$L,dim_lignes_achat!$H:$H,"Nicht gefunden",0)</f>
        <v>450</v>
      </c>
      <c r="H158" s="12">
        <f t="shared" si="10"/>
        <v>2250</v>
      </c>
      <c r="I158" t="s">
        <v>225</v>
      </c>
      <c r="L158" t="str">
        <f>IF(ISNUMBER(MATCH(I158,dim_produits!$C:$C,0)),"OK","MANQUANT")</f>
        <v>OK</v>
      </c>
    </row>
    <row r="159" spans="1:12">
      <c r="A159">
        <f t="shared" si="9"/>
        <v>158</v>
      </c>
      <c r="B159">
        <v>15</v>
      </c>
      <c r="C159">
        <f>IFERROR(_xlfn.XLOOKUP(I159,dim_produits!$C:$C,dim_produits!$A:$A,""),"")</f>
        <v>9</v>
      </c>
      <c r="D159">
        <v>9</v>
      </c>
      <c r="E159" s="12">
        <v>750</v>
      </c>
      <c r="F159" s="12">
        <f t="shared" si="8"/>
        <v>6750</v>
      </c>
      <c r="G159" s="12">
        <f>_xlfn.XLOOKUP(I159,dim_lignes_achat!$L:$L,dim_lignes_achat!$H:$H,"Nicht gefunden",0)</f>
        <v>650</v>
      </c>
      <c r="H159" s="12">
        <f t="shared" si="10"/>
        <v>5850</v>
      </c>
      <c r="I159" t="s">
        <v>222</v>
      </c>
      <c r="L159" t="str">
        <f>IF(ISNUMBER(MATCH(I159,dim_produits!$C:$C,0)),"OK","MANQUANT")</f>
        <v>OK</v>
      </c>
    </row>
    <row r="160" spans="1:12">
      <c r="A160">
        <f t="shared" si="9"/>
        <v>159</v>
      </c>
      <c r="B160">
        <v>15</v>
      </c>
      <c r="C160">
        <f>IFERROR(_xlfn.XLOOKUP(I160,dim_produits!$C:$C,dim_produits!$A:$A,""),"")</f>
        <v>11</v>
      </c>
      <c r="D160">
        <v>1</v>
      </c>
      <c r="E160" s="12">
        <v>750</v>
      </c>
      <c r="F160" s="12">
        <f t="shared" si="8"/>
        <v>750</v>
      </c>
      <c r="G160" s="12">
        <f>_xlfn.XLOOKUP(I160,dim_lignes_achat!$L:$L,dim_lignes_achat!$H:$H,"Nicht gefunden",0)</f>
        <v>650</v>
      </c>
      <c r="H160" s="12">
        <f t="shared" si="10"/>
        <v>650</v>
      </c>
      <c r="I160" t="s">
        <v>223</v>
      </c>
      <c r="L160" t="str">
        <f>IF(ISNUMBER(MATCH(I160,dim_produits!$C:$C,0)),"OK","MANQUANT")</f>
        <v>OK</v>
      </c>
    </row>
    <row r="161" spans="1:12">
      <c r="A161">
        <f t="shared" si="9"/>
        <v>160</v>
      </c>
      <c r="B161">
        <v>15</v>
      </c>
      <c r="C161">
        <f>IFERROR(_xlfn.XLOOKUP(I161,dim_produits!$C:$C,dim_produits!$A:$A,""),"")</f>
        <v>88</v>
      </c>
      <c r="D161">
        <v>2</v>
      </c>
      <c r="E161" s="12">
        <v>100</v>
      </c>
      <c r="F161" s="12">
        <f t="shared" si="8"/>
        <v>200</v>
      </c>
      <c r="G161" s="12">
        <f>_xlfn.XLOOKUP(I161,dim_lignes_achat!$L:$L,dim_lignes_achat!$H:$H,"Nicht gefunden",0)</f>
        <v>66</v>
      </c>
      <c r="H161" s="12">
        <f t="shared" si="10"/>
        <v>132</v>
      </c>
      <c r="I161" t="s">
        <v>253</v>
      </c>
      <c r="L161" t="str">
        <f>IF(ISNUMBER(MATCH(I161,dim_produits!$C:$C,0)),"OK","MANQUANT")</f>
        <v>OK</v>
      </c>
    </row>
    <row r="162" spans="1:12">
      <c r="A162">
        <f t="shared" si="9"/>
        <v>161</v>
      </c>
      <c r="B162">
        <v>15</v>
      </c>
      <c r="C162">
        <f>IFERROR(_xlfn.XLOOKUP(I162,dim_produits!$C:$C,dim_produits!$A:$A,""),"")</f>
        <v>7</v>
      </c>
      <c r="D162">
        <v>2</v>
      </c>
      <c r="E162" s="12">
        <v>750</v>
      </c>
      <c r="F162" s="12">
        <f t="shared" si="8"/>
        <v>1500</v>
      </c>
      <c r="G162" s="12">
        <f>_xlfn.XLOOKUP(I162,dim_lignes_achat!$L:$L,dim_lignes_achat!$H:$H,"Nicht gefunden",0)</f>
        <v>600</v>
      </c>
      <c r="H162" s="12">
        <f t="shared" si="10"/>
        <v>1200</v>
      </c>
      <c r="I162" t="s">
        <v>220</v>
      </c>
      <c r="L162" t="str">
        <f>IF(ISNUMBER(MATCH(I162,dim_produits!$C:$C,0)),"OK","MANQUANT")</f>
        <v>OK</v>
      </c>
    </row>
    <row r="163" spans="1:12">
      <c r="A163">
        <f t="shared" si="9"/>
        <v>162</v>
      </c>
      <c r="B163">
        <v>15</v>
      </c>
      <c r="C163">
        <f>IFERROR(_xlfn.XLOOKUP(I163,dim_produits!$C:$C,dim_produits!$A:$A,""),"")</f>
        <v>54</v>
      </c>
      <c r="D163">
        <v>1</v>
      </c>
      <c r="E163" s="12">
        <v>800</v>
      </c>
      <c r="F163" s="12">
        <f t="shared" si="8"/>
        <v>800</v>
      </c>
      <c r="G163" s="12">
        <f>_xlfn.XLOOKUP(I163,dim_lignes_achat!$L:$L,dim_lignes_achat!$H:$H,"Nicht gefunden",0)</f>
        <v>595.83333333333337</v>
      </c>
      <c r="H163" s="12">
        <f t="shared" si="10"/>
        <v>595.83333333333337</v>
      </c>
      <c r="I163" t="s">
        <v>235</v>
      </c>
      <c r="L163" t="str">
        <f>IF(ISNUMBER(MATCH(I163,dim_produits!$C:$C,0)),"OK","MANQUANT")</f>
        <v>OK</v>
      </c>
    </row>
    <row r="164" spans="1:12">
      <c r="A164">
        <f t="shared" si="9"/>
        <v>163</v>
      </c>
      <c r="B164">
        <v>15</v>
      </c>
      <c r="C164">
        <f>IFERROR(_xlfn.XLOOKUP(I164,dim_produits!$C:$C,dim_produits!$A:$A,""),"")</f>
        <v>72</v>
      </c>
      <c r="D164">
        <v>1</v>
      </c>
      <c r="E164" s="12">
        <v>500</v>
      </c>
      <c r="F164" s="12">
        <f t="shared" si="8"/>
        <v>500</v>
      </c>
      <c r="G164" s="12">
        <f>_xlfn.XLOOKUP(I164,dim_lignes_achat!$L:$L,dim_lignes_achat!$H:$H,"Nicht gefunden",0)</f>
        <v>416.66666666666669</v>
      </c>
      <c r="H164" s="12">
        <f t="shared" si="10"/>
        <v>416.66666666666669</v>
      </c>
      <c r="I164" t="s">
        <v>195</v>
      </c>
      <c r="L164" t="str">
        <f>IF(ISNUMBER(MATCH(I164,dim_produits!$C:$C,0)),"OK","MANQUANT")</f>
        <v>OK</v>
      </c>
    </row>
    <row r="165" spans="1:12">
      <c r="A165">
        <f t="shared" si="9"/>
        <v>164</v>
      </c>
      <c r="B165">
        <v>15</v>
      </c>
      <c r="C165">
        <f>IFERROR(_xlfn.XLOOKUP(I165,dim_produits!$C:$C,dim_produits!$A:$A,""),"")</f>
        <v>15</v>
      </c>
      <c r="D165">
        <v>6</v>
      </c>
      <c r="E165" s="12">
        <v>1000</v>
      </c>
      <c r="F165" s="12">
        <f t="shared" si="8"/>
        <v>6000</v>
      </c>
      <c r="G165" s="12">
        <f>_xlfn.XLOOKUP(I165,dim_lignes_achat!$L:$L,dim_lignes_achat!$H:$H,"Nicht gefunden",0)</f>
        <v>741.66666666666663</v>
      </c>
      <c r="H165" s="12">
        <f t="shared" si="10"/>
        <v>4450</v>
      </c>
      <c r="I165" t="s">
        <v>230</v>
      </c>
      <c r="L165" t="str">
        <f>IF(ISNUMBER(MATCH(I165,dim_produits!$C:$C,0)),"OK","MANQUANT")</f>
        <v>OK</v>
      </c>
    </row>
    <row r="166" spans="1:12">
      <c r="A166">
        <f t="shared" si="9"/>
        <v>165</v>
      </c>
      <c r="B166">
        <v>15</v>
      </c>
      <c r="C166">
        <f>IFERROR(_xlfn.XLOOKUP(I166,dim_produits!$C:$C,dim_produits!$A:$A,""),"")</f>
        <v>51</v>
      </c>
      <c r="D166">
        <v>2</v>
      </c>
      <c r="E166" s="12">
        <v>1500</v>
      </c>
      <c r="F166" s="12">
        <f t="shared" si="8"/>
        <v>3000</v>
      </c>
      <c r="G166" s="12">
        <f>_xlfn.XLOOKUP(I166,dim_lignes_achat!$L:$L,dim_lignes_achat!$H:$H,"Nicht gefunden",0)</f>
        <v>991.66666666666663</v>
      </c>
      <c r="H166" s="12">
        <f t="shared" si="10"/>
        <v>1983.3333333333333</v>
      </c>
      <c r="I166" t="s">
        <v>236</v>
      </c>
      <c r="L166" t="str">
        <f>IF(ISNUMBER(MATCH(I166,dim_produits!$C:$C,0)),"OK","MANQUANT")</f>
        <v>OK</v>
      </c>
    </row>
    <row r="167" spans="1:12">
      <c r="A167">
        <f t="shared" si="9"/>
        <v>166</v>
      </c>
      <c r="B167">
        <v>15</v>
      </c>
      <c r="C167">
        <f>IFERROR(_xlfn.XLOOKUP(I167,dim_produits!$C:$C,dim_produits!$A:$A,""),"")</f>
        <v>18</v>
      </c>
      <c r="D167">
        <v>2</v>
      </c>
      <c r="E167" s="12">
        <v>750</v>
      </c>
      <c r="F167" s="12">
        <f t="shared" si="8"/>
        <v>1500</v>
      </c>
      <c r="G167" s="12">
        <f>_xlfn.XLOOKUP(I167,dim_lignes_achat!$L:$L,dim_lignes_achat!$H:$H,"Nicht gefunden",0)</f>
        <v>650</v>
      </c>
      <c r="H167" s="12">
        <f t="shared" si="10"/>
        <v>1300</v>
      </c>
      <c r="I167" t="s">
        <v>228</v>
      </c>
      <c r="L167" t="str">
        <f>IF(ISNUMBER(MATCH(I167,dim_produits!$C:$C,0)),"OK","MANQUANT")</f>
        <v>OK</v>
      </c>
    </row>
    <row r="168" spans="1:12">
      <c r="A168">
        <f t="shared" si="9"/>
        <v>167</v>
      </c>
      <c r="B168">
        <v>15</v>
      </c>
      <c r="C168">
        <f>IFERROR(_xlfn.XLOOKUP(I168,dim_produits!$C:$C,dim_produits!$A:$A,""),"")</f>
        <v>12</v>
      </c>
      <c r="D168">
        <v>2</v>
      </c>
      <c r="E168" s="12">
        <v>750</v>
      </c>
      <c r="F168" s="12">
        <f t="shared" si="8"/>
        <v>1500</v>
      </c>
      <c r="G168" s="12">
        <f>_xlfn.XLOOKUP(I168,dim_lignes_achat!$L:$L,dim_lignes_achat!$H:$H,"Nicht gefunden",0)</f>
        <v>650</v>
      </c>
      <c r="H168" s="12">
        <f t="shared" si="10"/>
        <v>1300</v>
      </c>
      <c r="I168" t="s">
        <v>229</v>
      </c>
      <c r="L168" t="str">
        <f>IF(ISNUMBER(MATCH(I168,dim_produits!$C:$C,0)),"OK","MANQUANT")</f>
        <v>OK</v>
      </c>
    </row>
    <row r="169" spans="1:12">
      <c r="A169">
        <f t="shared" si="9"/>
        <v>168</v>
      </c>
      <c r="B169">
        <v>15</v>
      </c>
      <c r="C169">
        <f>IFERROR(_xlfn.XLOOKUP(I169,dim_produits!$C:$C,dim_produits!$A:$A,""),"")</f>
        <v>16</v>
      </c>
      <c r="D169">
        <v>4</v>
      </c>
      <c r="E169" s="12">
        <v>750</v>
      </c>
      <c r="F169" s="12">
        <f t="shared" si="8"/>
        <v>3000</v>
      </c>
      <c r="G169" s="12">
        <f>_xlfn.XLOOKUP(I169,dim_lignes_achat!$L:$L,dim_lignes_achat!$H:$H,"Nicht gefunden",0)</f>
        <v>650</v>
      </c>
      <c r="H169" s="12">
        <f t="shared" si="10"/>
        <v>2600</v>
      </c>
      <c r="I169" t="s">
        <v>419</v>
      </c>
      <c r="L169" t="str">
        <f>IF(ISNUMBER(MATCH(I169,dim_produits!$C:$C,0)),"OK","MANQUANT")</f>
        <v>OK</v>
      </c>
    </row>
    <row r="170" spans="1:12">
      <c r="A170">
        <f t="shared" si="9"/>
        <v>169</v>
      </c>
      <c r="B170">
        <v>15</v>
      </c>
      <c r="C170">
        <f>IFERROR(_xlfn.XLOOKUP(I170,dim_produits!$C:$C,dim_produits!$A:$A,""),"")</f>
        <v>56</v>
      </c>
      <c r="D170">
        <v>4</v>
      </c>
      <c r="E170" s="12">
        <v>900</v>
      </c>
      <c r="F170" s="12">
        <f t="shared" si="8"/>
        <v>3600</v>
      </c>
      <c r="G170" s="12">
        <f>_xlfn.XLOOKUP(I170,dim_lignes_achat!$L:$L,dim_lignes_achat!$H:$H,"Nicht gefunden",0)</f>
        <v>650</v>
      </c>
      <c r="H170" s="12">
        <f t="shared" si="10"/>
        <v>2600</v>
      </c>
      <c r="I170" t="s">
        <v>238</v>
      </c>
      <c r="L170" t="str">
        <f>IF(ISNUMBER(MATCH(I170,dim_produits!$C:$C,0)),"OK","MANQUANT")</f>
        <v>OK</v>
      </c>
    </row>
    <row r="171" spans="1:12">
      <c r="A171">
        <f t="shared" si="9"/>
        <v>170</v>
      </c>
      <c r="B171">
        <v>16</v>
      </c>
      <c r="C171">
        <f>IFERROR(_xlfn.XLOOKUP(I171,dim_produits!$C:$C,dim_produits!$A:$A,""),"")</f>
        <v>17</v>
      </c>
      <c r="D171">
        <v>2</v>
      </c>
      <c r="E171" s="12">
        <v>600</v>
      </c>
      <c r="F171" s="12">
        <f t="shared" si="8"/>
        <v>1200</v>
      </c>
      <c r="G171" s="12">
        <f>_xlfn.XLOOKUP(I171,dim_lignes_achat!$L:$L,dim_lignes_achat!$H:$H,"Nicht gefunden",0)</f>
        <v>450</v>
      </c>
      <c r="H171" s="12">
        <f t="shared" si="10"/>
        <v>900</v>
      </c>
      <c r="I171" t="s">
        <v>225</v>
      </c>
      <c r="L171" t="str">
        <f>IF(ISNUMBER(MATCH(I171,dim_produits!$C:$C,0)),"OK","MANQUANT")</f>
        <v>OK</v>
      </c>
    </row>
    <row r="172" spans="1:12">
      <c r="A172">
        <f t="shared" si="9"/>
        <v>171</v>
      </c>
      <c r="B172">
        <v>16</v>
      </c>
      <c r="C172">
        <f>IFERROR(_xlfn.XLOOKUP(I172,dim_produits!$C:$C,dim_produits!$A:$A,""),"")</f>
        <v>72</v>
      </c>
      <c r="D172">
        <v>2</v>
      </c>
      <c r="E172" s="12">
        <v>500</v>
      </c>
      <c r="F172" s="12">
        <f t="shared" ref="F172:F235" si="11">D172*E172</f>
        <v>1000</v>
      </c>
      <c r="G172" s="12">
        <f>_xlfn.XLOOKUP(I172,dim_lignes_achat!$L:$L,dim_lignes_achat!$H:$H,"Nicht gefunden",0)</f>
        <v>416.66666666666669</v>
      </c>
      <c r="H172" s="12">
        <f t="shared" si="10"/>
        <v>833.33333333333337</v>
      </c>
      <c r="I172" t="s">
        <v>195</v>
      </c>
      <c r="L172" t="str">
        <f>IF(ISNUMBER(MATCH(I172,dim_produits!$C:$C,0)),"OK","MANQUANT")</f>
        <v>OK</v>
      </c>
    </row>
    <row r="173" spans="1:12">
      <c r="A173">
        <f t="shared" si="9"/>
        <v>172</v>
      </c>
      <c r="B173">
        <v>16</v>
      </c>
      <c r="C173">
        <f>IFERROR(_xlfn.XLOOKUP(I173,dim_produits!$C:$C,dim_produits!$A:$A,""),"")</f>
        <v>52</v>
      </c>
      <c r="D173">
        <v>4</v>
      </c>
      <c r="E173" s="12">
        <v>600</v>
      </c>
      <c r="F173" s="12">
        <f t="shared" si="11"/>
        <v>2400</v>
      </c>
      <c r="G173" s="12">
        <f>_xlfn.XLOOKUP(I173,dim_lignes_achat!$L:$L,dim_lignes_achat!$H:$H,"Nicht gefunden",0)</f>
        <v>470.83333333333331</v>
      </c>
      <c r="H173" s="12">
        <f t="shared" si="10"/>
        <v>1883.3333333333333</v>
      </c>
      <c r="I173" t="s">
        <v>237</v>
      </c>
      <c r="L173" t="str">
        <f>IF(ISNUMBER(MATCH(I173,dim_produits!$C:$C,0)),"OK","MANQUANT")</f>
        <v>OK</v>
      </c>
    </row>
    <row r="174" spans="1:12">
      <c r="A174">
        <f t="shared" si="9"/>
        <v>173</v>
      </c>
      <c r="B174">
        <v>16</v>
      </c>
      <c r="C174">
        <f>IFERROR(_xlfn.XLOOKUP(I174,dim_produits!$C:$C,dim_produits!$A:$A,""),"")</f>
        <v>14</v>
      </c>
      <c r="D174">
        <v>2</v>
      </c>
      <c r="E174" s="12">
        <v>750</v>
      </c>
      <c r="F174" s="12">
        <f t="shared" si="11"/>
        <v>1500</v>
      </c>
      <c r="G174" s="12">
        <f>_xlfn.XLOOKUP(I174,dim_lignes_achat!$L:$L,dim_lignes_achat!$H:$H,"Nicht gefunden",0)</f>
        <v>554.16666666666663</v>
      </c>
      <c r="H174" s="12">
        <f t="shared" si="10"/>
        <v>1108.3333333333333</v>
      </c>
      <c r="I174" t="s">
        <v>373</v>
      </c>
      <c r="L174" t="str">
        <f>IF(ISNUMBER(MATCH(I174,dim_produits!$C:$C,0)),"OK","MANQUANT")</f>
        <v>OK</v>
      </c>
    </row>
    <row r="175" spans="1:12">
      <c r="A175">
        <f t="shared" si="9"/>
        <v>174</v>
      </c>
      <c r="B175">
        <v>16</v>
      </c>
      <c r="C175">
        <f>IFERROR(_xlfn.XLOOKUP(I175,dim_produits!$C:$C,dim_produits!$A:$A,""),"")</f>
        <v>7</v>
      </c>
      <c r="D175">
        <v>8</v>
      </c>
      <c r="E175" s="12">
        <v>750</v>
      </c>
      <c r="F175" s="12">
        <f t="shared" si="11"/>
        <v>6000</v>
      </c>
      <c r="G175" s="12">
        <f>_xlfn.XLOOKUP(I175,dim_lignes_achat!$L:$L,dim_lignes_achat!$H:$H,"Nicht gefunden",0)</f>
        <v>600</v>
      </c>
      <c r="H175" s="12">
        <f t="shared" si="10"/>
        <v>4800</v>
      </c>
      <c r="I175" t="s">
        <v>220</v>
      </c>
      <c r="L175" t="str">
        <f>IF(ISNUMBER(MATCH(I175,dim_produits!$C:$C,0)),"OK","MANQUANT")</f>
        <v>OK</v>
      </c>
    </row>
    <row r="176" spans="1:12">
      <c r="A176">
        <f t="shared" si="9"/>
        <v>175</v>
      </c>
      <c r="B176">
        <v>16</v>
      </c>
      <c r="C176">
        <f>IFERROR(_xlfn.XLOOKUP(I176,dim_produits!$C:$C,dim_produits!$A:$A,""),"")</f>
        <v>84</v>
      </c>
      <c r="D176">
        <v>1</v>
      </c>
      <c r="E176" s="12">
        <v>700</v>
      </c>
      <c r="F176" s="12">
        <f t="shared" si="11"/>
        <v>700</v>
      </c>
      <c r="G176" s="12">
        <f>_xlfn.XLOOKUP(I176,dim_lignes_achat!$L:$L,dim_lignes_achat!$H:$H,"Nicht gefunden",0)</f>
        <v>583.33333333333337</v>
      </c>
      <c r="H176" s="12">
        <f t="shared" si="10"/>
        <v>583.33333333333337</v>
      </c>
      <c r="I176" t="s">
        <v>209</v>
      </c>
      <c r="L176" t="str">
        <f>IF(ISNUMBER(MATCH(I176,dim_produits!$C:$C,0)),"OK","MANQUANT")</f>
        <v>OK</v>
      </c>
    </row>
    <row r="177" spans="1:12">
      <c r="A177">
        <f t="shared" si="9"/>
        <v>176</v>
      </c>
      <c r="B177">
        <v>16</v>
      </c>
      <c r="C177">
        <f>IFERROR(_xlfn.XLOOKUP(I177,dim_produits!$C:$C,dim_produits!$A:$A,""),"")</f>
        <v>56</v>
      </c>
      <c r="D177">
        <v>3</v>
      </c>
      <c r="E177" s="12">
        <v>900</v>
      </c>
      <c r="F177" s="12">
        <f t="shared" si="11"/>
        <v>2700</v>
      </c>
      <c r="G177" s="12">
        <f>_xlfn.XLOOKUP(I177,dim_lignes_achat!$L:$L,dim_lignes_achat!$H:$H,"Nicht gefunden",0)</f>
        <v>650</v>
      </c>
      <c r="H177" s="12">
        <f t="shared" si="10"/>
        <v>1950</v>
      </c>
      <c r="I177" t="s">
        <v>238</v>
      </c>
      <c r="L177" t="str">
        <f>IF(ISNUMBER(MATCH(I177,dim_produits!$C:$C,0)),"OK","MANQUANT")</f>
        <v>OK</v>
      </c>
    </row>
    <row r="178" spans="1:12">
      <c r="A178">
        <f t="shared" si="9"/>
        <v>177</v>
      </c>
      <c r="B178">
        <v>16</v>
      </c>
      <c r="C178">
        <f>IFERROR(_xlfn.XLOOKUP(I178,dim_produits!$C:$C,dim_produits!$A:$A,""),"")</f>
        <v>11</v>
      </c>
      <c r="D178">
        <v>9</v>
      </c>
      <c r="E178" s="12">
        <v>750</v>
      </c>
      <c r="F178" s="12">
        <f t="shared" si="11"/>
        <v>6750</v>
      </c>
      <c r="G178" s="12">
        <f>_xlfn.XLOOKUP(I178,dim_lignes_achat!$L:$L,dim_lignes_achat!$H:$H,"Nicht gefunden",0)</f>
        <v>650</v>
      </c>
      <c r="H178" s="12">
        <f t="shared" si="10"/>
        <v>5850</v>
      </c>
      <c r="I178" t="s">
        <v>223</v>
      </c>
      <c r="L178" t="str">
        <f>IF(ISNUMBER(MATCH(I178,dim_produits!$C:$C,0)),"OK","MANQUANT")</f>
        <v>OK</v>
      </c>
    </row>
    <row r="179" spans="1:12">
      <c r="A179">
        <f t="shared" si="9"/>
        <v>178</v>
      </c>
      <c r="B179">
        <v>16</v>
      </c>
      <c r="C179">
        <f>IFERROR(_xlfn.XLOOKUP(I179,dim_produits!$C:$C,dim_produits!$A:$A,""),"")</f>
        <v>9</v>
      </c>
      <c r="D179">
        <v>15</v>
      </c>
      <c r="E179" s="12">
        <v>750</v>
      </c>
      <c r="F179" s="12">
        <f t="shared" si="11"/>
        <v>11250</v>
      </c>
      <c r="G179" s="12">
        <f>_xlfn.XLOOKUP(I179,dim_lignes_achat!$L:$L,dim_lignes_achat!$H:$H,"Nicht gefunden",0)</f>
        <v>650</v>
      </c>
      <c r="H179" s="12">
        <f t="shared" si="10"/>
        <v>9750</v>
      </c>
      <c r="I179" t="s">
        <v>222</v>
      </c>
      <c r="L179" t="str">
        <f>IF(ISNUMBER(MATCH(I179,dim_produits!$C:$C,0)),"OK","MANQUANT")</f>
        <v>OK</v>
      </c>
    </row>
    <row r="180" spans="1:12">
      <c r="A180">
        <f t="shared" si="9"/>
        <v>179</v>
      </c>
      <c r="B180">
        <v>16</v>
      </c>
      <c r="C180">
        <f>IFERROR(_xlfn.XLOOKUP(I180,dim_produits!$C:$C,dim_produits!$A:$A,""),"")</f>
        <v>18</v>
      </c>
      <c r="D180">
        <v>1</v>
      </c>
      <c r="E180" s="12">
        <v>750</v>
      </c>
      <c r="F180" s="12">
        <f t="shared" si="11"/>
        <v>750</v>
      </c>
      <c r="G180" s="12">
        <f>_xlfn.XLOOKUP(I180,dim_lignes_achat!$L:$L,dim_lignes_achat!$H:$H,"Nicht gefunden",0)</f>
        <v>650</v>
      </c>
      <c r="H180" s="12">
        <f t="shared" si="10"/>
        <v>650</v>
      </c>
      <c r="I180" t="s">
        <v>228</v>
      </c>
      <c r="L180" t="str">
        <f>IF(ISNUMBER(MATCH(I180,dim_produits!$C:$C,0)),"OK","MANQUANT")</f>
        <v>OK</v>
      </c>
    </row>
    <row r="181" spans="1:12">
      <c r="A181">
        <f t="shared" si="9"/>
        <v>180</v>
      </c>
      <c r="B181">
        <v>16</v>
      </c>
      <c r="C181">
        <f>IFERROR(_xlfn.XLOOKUP(I181,dim_produits!$C:$C,dim_produits!$A:$A,""),"")</f>
        <v>16</v>
      </c>
      <c r="D181">
        <v>7</v>
      </c>
      <c r="E181" s="12">
        <v>750</v>
      </c>
      <c r="F181" s="12">
        <f t="shared" si="11"/>
        <v>5250</v>
      </c>
      <c r="G181" s="12">
        <f>_xlfn.XLOOKUP(I181,dim_lignes_achat!$L:$L,dim_lignes_achat!$H:$H,"Nicht gefunden",0)</f>
        <v>650</v>
      </c>
      <c r="H181" s="12">
        <f t="shared" si="10"/>
        <v>4550</v>
      </c>
      <c r="I181" t="s">
        <v>419</v>
      </c>
      <c r="L181" t="str">
        <f>IF(ISNUMBER(MATCH(I181,dim_produits!$C:$C,0)),"OK","MANQUANT")</f>
        <v>OK</v>
      </c>
    </row>
    <row r="182" spans="1:12">
      <c r="A182">
        <f t="shared" si="9"/>
        <v>181</v>
      </c>
      <c r="B182">
        <v>16</v>
      </c>
      <c r="C182">
        <f>IFERROR(_xlfn.XLOOKUP(I182,dim_produits!$C:$C,dim_produits!$A:$A,""),"")</f>
        <v>53</v>
      </c>
      <c r="D182">
        <v>2</v>
      </c>
      <c r="E182" s="12">
        <v>800</v>
      </c>
      <c r="F182" s="12">
        <f t="shared" si="11"/>
        <v>1600</v>
      </c>
      <c r="G182" s="12">
        <f>_xlfn.XLOOKUP(I182,dim_lignes_achat!$L:$L,dim_lignes_achat!$H:$H,"Nicht gefunden",0)</f>
        <v>600</v>
      </c>
      <c r="H182" s="12">
        <f t="shared" si="10"/>
        <v>1200</v>
      </c>
      <c r="I182" t="s">
        <v>370</v>
      </c>
      <c r="L182" t="str">
        <f>IF(ISNUMBER(MATCH(I182,dim_produits!$C:$C,0)),"OK","MANQUANT")</f>
        <v>OK</v>
      </c>
    </row>
    <row r="183" spans="1:12">
      <c r="A183">
        <f t="shared" si="9"/>
        <v>182</v>
      </c>
      <c r="B183">
        <v>16</v>
      </c>
      <c r="C183">
        <f>IFERROR(_xlfn.XLOOKUP(I183,dim_produits!$C:$C,dim_produits!$A:$A,""),"")</f>
        <v>54</v>
      </c>
      <c r="D183">
        <v>3</v>
      </c>
      <c r="E183" s="12">
        <v>800</v>
      </c>
      <c r="F183" s="12">
        <f t="shared" si="11"/>
        <v>2400</v>
      </c>
      <c r="G183" s="12">
        <f>_xlfn.XLOOKUP(I183,dim_lignes_achat!$L:$L,dim_lignes_achat!$H:$H,"Nicht gefunden",0)</f>
        <v>595.83333333333337</v>
      </c>
      <c r="H183" s="12">
        <f t="shared" si="10"/>
        <v>1787.5</v>
      </c>
      <c r="I183" t="s">
        <v>235</v>
      </c>
      <c r="L183" t="str">
        <f>IF(ISNUMBER(MATCH(I183,dim_produits!$C:$C,0)),"OK","MANQUANT")</f>
        <v>OK</v>
      </c>
    </row>
    <row r="184" spans="1:12">
      <c r="A184">
        <f t="shared" si="9"/>
        <v>183</v>
      </c>
      <c r="B184">
        <v>17</v>
      </c>
      <c r="C184">
        <f>IFERROR(_xlfn.XLOOKUP(I184,dim_produits!$C:$C,dim_produits!$A:$A,""),"")</f>
        <v>54</v>
      </c>
      <c r="D184">
        <v>4</v>
      </c>
      <c r="E184" s="12">
        <v>800</v>
      </c>
      <c r="F184" s="12">
        <f t="shared" si="11"/>
        <v>3200</v>
      </c>
      <c r="G184" s="12">
        <f>_xlfn.XLOOKUP(I184,dim_lignes_achat!$L:$L,dim_lignes_achat!$H:$H,"Nicht gefunden",0)</f>
        <v>595.83333333333337</v>
      </c>
      <c r="H184" s="12">
        <f t="shared" si="10"/>
        <v>2383.3333333333335</v>
      </c>
      <c r="I184" t="s">
        <v>235</v>
      </c>
      <c r="L184" t="str">
        <f>IF(ISNUMBER(MATCH(I184,dim_produits!$C:$C,0)),"OK","MANQUANT")</f>
        <v>OK</v>
      </c>
    </row>
    <row r="185" spans="1:12">
      <c r="A185">
        <f t="shared" si="9"/>
        <v>184</v>
      </c>
      <c r="B185">
        <v>17</v>
      </c>
      <c r="C185">
        <f>IFERROR(_xlfn.XLOOKUP(I185,dim_produits!$C:$C,dim_produits!$A:$A,""),"")</f>
        <v>51</v>
      </c>
      <c r="D185">
        <v>1</v>
      </c>
      <c r="E185" s="12">
        <v>1500</v>
      </c>
      <c r="F185" s="12">
        <f t="shared" si="11"/>
        <v>1500</v>
      </c>
      <c r="G185" s="12">
        <f>_xlfn.XLOOKUP(I185,dim_lignes_achat!$L:$L,dim_lignes_achat!$H:$H,"Nicht gefunden",0)</f>
        <v>991.66666666666663</v>
      </c>
      <c r="H185" s="12">
        <f t="shared" si="10"/>
        <v>991.66666666666663</v>
      </c>
      <c r="I185" t="s">
        <v>236</v>
      </c>
      <c r="L185" t="str">
        <f>IF(ISNUMBER(MATCH(I185,dim_produits!$C:$C,0)),"OK","MANQUANT")</f>
        <v>OK</v>
      </c>
    </row>
    <row r="186" spans="1:12">
      <c r="A186">
        <f t="shared" si="9"/>
        <v>185</v>
      </c>
      <c r="B186">
        <v>17</v>
      </c>
      <c r="C186">
        <f>IFERROR(_xlfn.XLOOKUP(I186,dim_produits!$C:$C,dim_produits!$A:$A,""),"")</f>
        <v>16</v>
      </c>
      <c r="D186">
        <v>2</v>
      </c>
      <c r="E186" s="12">
        <v>750</v>
      </c>
      <c r="F186" s="12">
        <f t="shared" si="11"/>
        <v>1500</v>
      </c>
      <c r="G186" s="12">
        <f>_xlfn.XLOOKUP(I186,dim_lignes_achat!$L:$L,dim_lignes_achat!$H:$H,"Nicht gefunden",0)</f>
        <v>650</v>
      </c>
      <c r="H186" s="12">
        <f t="shared" si="10"/>
        <v>1300</v>
      </c>
      <c r="I186" t="s">
        <v>419</v>
      </c>
      <c r="L186" t="str">
        <f>IF(ISNUMBER(MATCH(I186,dim_produits!$C:$C,0)),"OK","MANQUANT")</f>
        <v>OK</v>
      </c>
    </row>
    <row r="187" spans="1:12">
      <c r="A187">
        <f t="shared" si="9"/>
        <v>186</v>
      </c>
      <c r="B187">
        <v>17</v>
      </c>
      <c r="C187">
        <f>IFERROR(_xlfn.XLOOKUP(I187,dim_produits!$C:$C,dim_produits!$A:$A,""),"")</f>
        <v>17</v>
      </c>
      <c r="D187">
        <v>9</v>
      </c>
      <c r="E187" s="12">
        <v>600</v>
      </c>
      <c r="F187" s="12">
        <f t="shared" si="11"/>
        <v>5400</v>
      </c>
      <c r="G187" s="12">
        <f>_xlfn.XLOOKUP(I187,dim_lignes_achat!$L:$L,dim_lignes_achat!$H:$H,"Nicht gefunden",0)</f>
        <v>450</v>
      </c>
      <c r="H187" s="12">
        <f t="shared" si="10"/>
        <v>4050</v>
      </c>
      <c r="I187" t="s">
        <v>225</v>
      </c>
      <c r="L187" t="str">
        <f>IF(ISNUMBER(MATCH(I187,dim_produits!$C:$C,0)),"OK","MANQUANT")</f>
        <v>OK</v>
      </c>
    </row>
    <row r="188" spans="1:12">
      <c r="A188">
        <f t="shared" si="9"/>
        <v>187</v>
      </c>
      <c r="B188">
        <v>17</v>
      </c>
      <c r="C188">
        <f>IFERROR(_xlfn.XLOOKUP(I188,dim_produits!$C:$C,dim_produits!$A:$A,""),"")</f>
        <v>9</v>
      </c>
      <c r="D188">
        <v>32</v>
      </c>
      <c r="E188" s="12">
        <v>750</v>
      </c>
      <c r="F188" s="12">
        <f t="shared" si="11"/>
        <v>24000</v>
      </c>
      <c r="G188" s="12">
        <f>_xlfn.XLOOKUP(I188,dim_lignes_achat!$L:$L,dim_lignes_achat!$H:$H,"Nicht gefunden",0)</f>
        <v>650</v>
      </c>
      <c r="H188" s="12">
        <f t="shared" si="10"/>
        <v>20800</v>
      </c>
      <c r="I188" t="s">
        <v>222</v>
      </c>
      <c r="L188" t="str">
        <f>IF(ISNUMBER(MATCH(I188,dim_produits!$C:$C,0)),"OK","MANQUANT")</f>
        <v>OK</v>
      </c>
    </row>
    <row r="189" spans="1:12">
      <c r="A189">
        <f t="shared" si="9"/>
        <v>188</v>
      </c>
      <c r="B189">
        <v>17</v>
      </c>
      <c r="C189">
        <f>IFERROR(_xlfn.XLOOKUP(I189,dim_produits!$C:$C,dim_produits!$A:$A,""),"")</f>
        <v>12</v>
      </c>
      <c r="D189">
        <v>1</v>
      </c>
      <c r="E189" s="12">
        <v>750</v>
      </c>
      <c r="F189" s="12">
        <f t="shared" si="11"/>
        <v>750</v>
      </c>
      <c r="G189" s="12">
        <f>_xlfn.XLOOKUP(I189,dim_lignes_achat!$L:$L,dim_lignes_achat!$H:$H,"Nicht gefunden",0)</f>
        <v>650</v>
      </c>
      <c r="H189" s="12">
        <f t="shared" si="10"/>
        <v>650</v>
      </c>
      <c r="I189" t="s">
        <v>229</v>
      </c>
      <c r="L189" t="str">
        <f>IF(ISNUMBER(MATCH(I189,dim_produits!$C:$C,0)),"OK","MANQUANT")</f>
        <v>OK</v>
      </c>
    </row>
    <row r="190" spans="1:12">
      <c r="A190">
        <f t="shared" si="9"/>
        <v>189</v>
      </c>
      <c r="B190">
        <v>17</v>
      </c>
      <c r="C190">
        <f>IFERROR(_xlfn.XLOOKUP(I190,dim_produits!$C:$C,dim_produits!$A:$A,""),"")</f>
        <v>52</v>
      </c>
      <c r="D190">
        <v>2</v>
      </c>
      <c r="E190" s="12">
        <v>600</v>
      </c>
      <c r="F190" s="12">
        <f t="shared" si="11"/>
        <v>1200</v>
      </c>
      <c r="G190" s="12">
        <f>_xlfn.XLOOKUP(I190,dim_lignes_achat!$L:$L,dim_lignes_achat!$H:$H,"Nicht gefunden",0)</f>
        <v>470.83333333333331</v>
      </c>
      <c r="H190" s="12">
        <f t="shared" si="10"/>
        <v>941.66666666666663</v>
      </c>
      <c r="I190" t="s">
        <v>237</v>
      </c>
      <c r="L190" t="str">
        <f>IF(ISNUMBER(MATCH(I190,dim_produits!$C:$C,0)),"OK","MANQUANT")</f>
        <v>OK</v>
      </c>
    </row>
    <row r="191" spans="1:12">
      <c r="A191">
        <f t="shared" si="9"/>
        <v>190</v>
      </c>
      <c r="B191">
        <v>17</v>
      </c>
      <c r="C191">
        <f>IFERROR(_xlfn.XLOOKUP(I191,dim_produits!$C:$C,dim_produits!$A:$A,""),"")</f>
        <v>7</v>
      </c>
      <c r="D191">
        <v>3</v>
      </c>
      <c r="E191" s="12">
        <v>750</v>
      </c>
      <c r="F191" s="12">
        <f t="shared" si="11"/>
        <v>2250</v>
      </c>
      <c r="G191" s="12">
        <f>_xlfn.XLOOKUP(I191,dim_lignes_achat!$L:$L,dim_lignes_achat!$H:$H,"Nicht gefunden",0)</f>
        <v>600</v>
      </c>
      <c r="H191" s="12">
        <f t="shared" si="10"/>
        <v>1800</v>
      </c>
      <c r="I191" t="s">
        <v>220</v>
      </c>
      <c r="L191" t="str">
        <f>IF(ISNUMBER(MATCH(I191,dim_produits!$C:$C,0)),"OK","MANQUANT")</f>
        <v>OK</v>
      </c>
    </row>
    <row r="192" spans="1:12">
      <c r="A192">
        <f t="shared" si="9"/>
        <v>191</v>
      </c>
      <c r="B192">
        <v>17</v>
      </c>
      <c r="C192">
        <f>IFERROR(_xlfn.XLOOKUP(I192,dim_produits!$C:$C,dim_produits!$A:$A,""),"")</f>
        <v>10</v>
      </c>
      <c r="D192">
        <v>2</v>
      </c>
      <c r="E192" s="12">
        <v>750</v>
      </c>
      <c r="F192" s="12">
        <f t="shared" si="11"/>
        <v>1500</v>
      </c>
      <c r="G192" s="12">
        <f>_xlfn.XLOOKUP(I192,dim_lignes_achat!$L:$L,dim_lignes_achat!$H:$H,"Nicht gefunden",0)</f>
        <v>595.83333333333337</v>
      </c>
      <c r="H192" s="12">
        <f t="shared" si="10"/>
        <v>1191.6666666666667</v>
      </c>
      <c r="I192" t="s">
        <v>227</v>
      </c>
      <c r="L192" t="str">
        <f>IF(ISNUMBER(MATCH(I192,dim_produits!$C:$C,0)),"OK","MANQUANT")</f>
        <v>OK</v>
      </c>
    </row>
    <row r="193" spans="1:12">
      <c r="A193">
        <f t="shared" si="9"/>
        <v>192</v>
      </c>
      <c r="B193">
        <v>17</v>
      </c>
      <c r="C193">
        <f>IFERROR(_xlfn.XLOOKUP(I193,dim_produits!$C:$C,dim_produits!$A:$A,""),"")</f>
        <v>11</v>
      </c>
      <c r="D193">
        <v>5</v>
      </c>
      <c r="E193" s="12">
        <v>750</v>
      </c>
      <c r="F193" s="12">
        <f t="shared" si="11"/>
        <v>3750</v>
      </c>
      <c r="G193" s="12">
        <f>_xlfn.XLOOKUP(I193,dim_lignes_achat!$L:$L,dim_lignes_achat!$H:$H,"Nicht gefunden",0)</f>
        <v>650</v>
      </c>
      <c r="H193" s="12">
        <f t="shared" si="10"/>
        <v>3250</v>
      </c>
      <c r="I193" t="s">
        <v>223</v>
      </c>
      <c r="L193" t="str">
        <f>IF(ISNUMBER(MATCH(I193,dim_produits!$C:$C,0)),"OK","MANQUANT")</f>
        <v>OK</v>
      </c>
    </row>
    <row r="194" spans="1:12">
      <c r="A194">
        <f t="shared" si="9"/>
        <v>193</v>
      </c>
      <c r="B194">
        <v>17</v>
      </c>
      <c r="C194">
        <f>IFERROR(_xlfn.XLOOKUP(I194,dim_produits!$C:$C,dim_produits!$A:$A,""),"")</f>
        <v>74</v>
      </c>
      <c r="D194">
        <v>2</v>
      </c>
      <c r="E194" s="12">
        <v>800</v>
      </c>
      <c r="F194" s="12">
        <f t="shared" si="11"/>
        <v>1600</v>
      </c>
      <c r="G194" s="12">
        <f>_xlfn.XLOOKUP(I194,dim_lignes_achat!$L:$L,dim_lignes_achat!$H:$H,"Nicht gefunden",0)</f>
        <v>700</v>
      </c>
      <c r="H194" s="12">
        <f t="shared" si="10"/>
        <v>1400</v>
      </c>
      <c r="I194" t="s">
        <v>198</v>
      </c>
      <c r="L194" t="str">
        <f>IF(ISNUMBER(MATCH(I194,dim_produits!$C:$C,0)),"OK","MANQUANT")</f>
        <v>OK</v>
      </c>
    </row>
    <row r="195" spans="1:12">
      <c r="A195">
        <f t="shared" si="9"/>
        <v>194</v>
      </c>
      <c r="B195">
        <v>17</v>
      </c>
      <c r="C195">
        <f>IFERROR(_xlfn.XLOOKUP(I195,dim_produits!$C:$C,dim_produits!$A:$A,""),"")</f>
        <v>56</v>
      </c>
      <c r="D195">
        <v>2</v>
      </c>
      <c r="E195" s="12">
        <v>900</v>
      </c>
      <c r="F195" s="12">
        <f t="shared" si="11"/>
        <v>1800</v>
      </c>
      <c r="G195" s="12">
        <f>_xlfn.XLOOKUP(I195,dim_lignes_achat!$L:$L,dim_lignes_achat!$H:$H,"Nicht gefunden",0)</f>
        <v>650</v>
      </c>
      <c r="H195" s="12">
        <f t="shared" si="10"/>
        <v>1300</v>
      </c>
      <c r="I195" t="s">
        <v>238</v>
      </c>
      <c r="L195" t="str">
        <f>IF(ISNUMBER(MATCH(I195,dim_produits!$C:$C,0)),"OK","MANQUANT")</f>
        <v>OK</v>
      </c>
    </row>
    <row r="196" spans="1:12">
      <c r="A196">
        <f t="shared" ref="A196:A259" si="12">A195+1</f>
        <v>195</v>
      </c>
      <c r="B196">
        <v>17</v>
      </c>
      <c r="C196">
        <f>IFERROR(_xlfn.XLOOKUP(I196,dim_produits!$C:$C,dim_produits!$A:$A,""),"")</f>
        <v>14</v>
      </c>
      <c r="D196">
        <v>1</v>
      </c>
      <c r="E196" s="12">
        <v>750</v>
      </c>
      <c r="F196" s="12">
        <f t="shared" si="11"/>
        <v>750</v>
      </c>
      <c r="G196" s="12">
        <f>_xlfn.XLOOKUP(I196,dim_lignes_achat!$L:$L,dim_lignes_achat!$H:$H,"Nicht gefunden",0)</f>
        <v>554.16666666666663</v>
      </c>
      <c r="H196" s="12">
        <f t="shared" ref="H196:H259" si="13">IF(ISNUMBER(G196),G196*D196,"")</f>
        <v>554.16666666666663</v>
      </c>
      <c r="I196" t="s">
        <v>373</v>
      </c>
      <c r="L196" t="str">
        <f>IF(ISNUMBER(MATCH(I196,dim_produits!$C:$C,0)),"OK","MANQUANT")</f>
        <v>OK</v>
      </c>
    </row>
    <row r="197" spans="1:12">
      <c r="A197">
        <f t="shared" si="12"/>
        <v>196</v>
      </c>
      <c r="B197">
        <v>17</v>
      </c>
      <c r="C197">
        <f>IFERROR(_xlfn.XLOOKUP(I197,dim_produits!$C:$C,dim_produits!$A:$A,""),"")</f>
        <v>53</v>
      </c>
      <c r="D197">
        <v>3</v>
      </c>
      <c r="E197" s="12">
        <v>800</v>
      </c>
      <c r="F197" s="12">
        <f t="shared" si="11"/>
        <v>2400</v>
      </c>
      <c r="G197" s="12">
        <f>_xlfn.XLOOKUP(I197,dim_lignes_achat!$L:$L,dim_lignes_achat!$H:$H,"Nicht gefunden",0)</f>
        <v>600</v>
      </c>
      <c r="H197" s="12">
        <f t="shared" si="13"/>
        <v>1800</v>
      </c>
      <c r="I197" t="s">
        <v>370</v>
      </c>
      <c r="L197" t="str">
        <f>IF(ISNUMBER(MATCH(I197,dim_produits!$C:$C,0)),"OK","MANQUANT")</f>
        <v>OK</v>
      </c>
    </row>
    <row r="198" spans="1:12">
      <c r="A198">
        <f t="shared" si="12"/>
        <v>197</v>
      </c>
      <c r="B198">
        <v>18</v>
      </c>
      <c r="C198">
        <f>IFERROR(_xlfn.XLOOKUP(I198,dim_produits!$C:$C,dim_produits!$A:$A,""),"")</f>
        <v>7</v>
      </c>
      <c r="D198">
        <v>3</v>
      </c>
      <c r="E198" s="12">
        <v>750</v>
      </c>
      <c r="F198" s="12">
        <f t="shared" si="11"/>
        <v>2250</v>
      </c>
      <c r="G198" s="12">
        <f>_xlfn.XLOOKUP(I198,dim_lignes_achat!$L:$L,dim_lignes_achat!$H:$H,"Nicht gefunden",0)</f>
        <v>600</v>
      </c>
      <c r="H198" s="12">
        <f t="shared" si="13"/>
        <v>1800</v>
      </c>
      <c r="I198" t="s">
        <v>220</v>
      </c>
      <c r="L198" t="str">
        <f>IF(ISNUMBER(MATCH(I198,dim_produits!$C:$C,0)),"OK","MANQUANT")</f>
        <v>OK</v>
      </c>
    </row>
    <row r="199" spans="1:12">
      <c r="A199">
        <f t="shared" si="12"/>
        <v>198</v>
      </c>
      <c r="B199">
        <v>18</v>
      </c>
      <c r="C199">
        <f>IFERROR(_xlfn.XLOOKUP(I199,dim_produits!$C:$C,dim_produits!$A:$A,""),"")</f>
        <v>18</v>
      </c>
      <c r="D199">
        <v>2</v>
      </c>
      <c r="E199" s="12">
        <v>750</v>
      </c>
      <c r="F199" s="12">
        <f t="shared" si="11"/>
        <v>1500</v>
      </c>
      <c r="G199" s="12">
        <f>_xlfn.XLOOKUP(I199,dim_lignes_achat!$L:$L,dim_lignes_achat!$H:$H,"Nicht gefunden",0)</f>
        <v>650</v>
      </c>
      <c r="H199" s="12">
        <f t="shared" si="13"/>
        <v>1300</v>
      </c>
      <c r="I199" t="s">
        <v>228</v>
      </c>
      <c r="L199" t="str">
        <f>IF(ISNUMBER(MATCH(I199,dim_produits!$C:$C,0)),"OK","MANQUANT")</f>
        <v>OK</v>
      </c>
    </row>
    <row r="200" spans="1:12">
      <c r="A200">
        <f t="shared" si="12"/>
        <v>199</v>
      </c>
      <c r="B200">
        <v>18</v>
      </c>
      <c r="C200">
        <f>IFERROR(_xlfn.XLOOKUP(I200,dim_produits!$C:$C,dim_produits!$A:$A,""),"")</f>
        <v>9</v>
      </c>
      <c r="D200">
        <v>4</v>
      </c>
      <c r="E200" s="12">
        <v>750</v>
      </c>
      <c r="F200" s="12">
        <f t="shared" si="11"/>
        <v>3000</v>
      </c>
      <c r="G200" s="12">
        <f>_xlfn.XLOOKUP(I200,dim_lignes_achat!$L:$L,dim_lignes_achat!$H:$H,"Nicht gefunden",0)</f>
        <v>650</v>
      </c>
      <c r="H200" s="12">
        <f t="shared" si="13"/>
        <v>2600</v>
      </c>
      <c r="I200" t="s">
        <v>222</v>
      </c>
      <c r="L200" t="str">
        <f>IF(ISNUMBER(MATCH(I200,dim_produits!$C:$C,0)),"OK","MANQUANT")</f>
        <v>OK</v>
      </c>
    </row>
    <row r="201" spans="1:12">
      <c r="A201">
        <f t="shared" si="12"/>
        <v>200</v>
      </c>
      <c r="B201">
        <v>18</v>
      </c>
      <c r="C201">
        <f>IFERROR(_xlfn.XLOOKUP(I201,dim_produits!$C:$C,dim_produits!$A:$A,""),"")</f>
        <v>86</v>
      </c>
      <c r="D201">
        <v>1</v>
      </c>
      <c r="E201" s="12">
        <v>500</v>
      </c>
      <c r="F201" s="12">
        <f t="shared" si="11"/>
        <v>500</v>
      </c>
      <c r="G201" s="12">
        <f>_xlfn.XLOOKUP(I201,dim_lignes_achat!$L:$L,dim_lignes_achat!$H:$H,"Nicht gefunden",0)</f>
        <v>416.66666666666669</v>
      </c>
      <c r="H201" s="12">
        <f t="shared" si="13"/>
        <v>416.66666666666669</v>
      </c>
      <c r="I201" t="s">
        <v>407</v>
      </c>
      <c r="L201" t="str">
        <f>IF(ISNUMBER(MATCH(I201,dim_produits!$C:$C,0)),"OK","MANQUANT")</f>
        <v>OK</v>
      </c>
    </row>
    <row r="202" spans="1:12">
      <c r="A202">
        <f t="shared" si="12"/>
        <v>201</v>
      </c>
      <c r="B202">
        <v>18</v>
      </c>
      <c r="C202">
        <f>IFERROR(_xlfn.XLOOKUP(I202,dim_produits!$C:$C,dim_produits!$A:$A,""),"")</f>
        <v>54</v>
      </c>
      <c r="D202">
        <v>2</v>
      </c>
      <c r="E202" s="12">
        <v>800</v>
      </c>
      <c r="F202" s="12">
        <f t="shared" si="11"/>
        <v>1600</v>
      </c>
      <c r="G202" s="12">
        <f>_xlfn.XLOOKUP(I202,dim_lignes_achat!$L:$L,dim_lignes_achat!$H:$H,"Nicht gefunden",0)</f>
        <v>595.83333333333337</v>
      </c>
      <c r="H202" s="12">
        <f t="shared" si="13"/>
        <v>1191.6666666666667</v>
      </c>
      <c r="I202" t="s">
        <v>235</v>
      </c>
      <c r="L202" t="str">
        <f>IF(ISNUMBER(MATCH(I202,dim_produits!$C:$C,0)),"OK","MANQUANT")</f>
        <v>OK</v>
      </c>
    </row>
    <row r="203" spans="1:12">
      <c r="A203">
        <f t="shared" si="12"/>
        <v>202</v>
      </c>
      <c r="B203">
        <v>18</v>
      </c>
      <c r="C203">
        <f>IFERROR(_xlfn.XLOOKUP(I203,dim_produits!$C:$C,dim_produits!$A:$A,""),"")</f>
        <v>16</v>
      </c>
      <c r="D203">
        <v>1</v>
      </c>
      <c r="E203" s="12">
        <v>750</v>
      </c>
      <c r="F203" s="12">
        <f t="shared" si="11"/>
        <v>750</v>
      </c>
      <c r="G203" s="12">
        <f>_xlfn.XLOOKUP(I203,dim_lignes_achat!$L:$L,dim_lignes_achat!$H:$H,"Nicht gefunden",0)</f>
        <v>650</v>
      </c>
      <c r="H203" s="12">
        <f t="shared" si="13"/>
        <v>650</v>
      </c>
      <c r="I203" t="s">
        <v>419</v>
      </c>
      <c r="L203" t="str">
        <f>IF(ISNUMBER(MATCH(I203,dim_produits!$C:$C,0)),"OK","MANQUANT")</f>
        <v>OK</v>
      </c>
    </row>
    <row r="204" spans="1:12">
      <c r="A204">
        <f t="shared" si="12"/>
        <v>203</v>
      </c>
      <c r="B204">
        <v>18</v>
      </c>
      <c r="C204">
        <f>IFERROR(_xlfn.XLOOKUP(I204,dim_produits!$C:$C,dim_produits!$A:$A,""),"")</f>
        <v>17</v>
      </c>
      <c r="D204">
        <v>2</v>
      </c>
      <c r="E204" s="12">
        <v>600</v>
      </c>
      <c r="F204" s="12">
        <f t="shared" si="11"/>
        <v>1200</v>
      </c>
      <c r="G204" s="12">
        <f>_xlfn.XLOOKUP(I204,dim_lignes_achat!$L:$L,dim_lignes_achat!$H:$H,"Nicht gefunden",0)</f>
        <v>450</v>
      </c>
      <c r="H204" s="12">
        <f t="shared" si="13"/>
        <v>900</v>
      </c>
      <c r="I204" t="s">
        <v>225</v>
      </c>
      <c r="L204" t="str">
        <f>IF(ISNUMBER(MATCH(I204,dim_produits!$C:$C,0)),"OK","MANQUANT")</f>
        <v>OK</v>
      </c>
    </row>
    <row r="205" spans="1:12">
      <c r="A205">
        <f t="shared" si="12"/>
        <v>204</v>
      </c>
      <c r="B205">
        <v>18</v>
      </c>
      <c r="C205">
        <f>IFERROR(_xlfn.XLOOKUP(I205,dim_produits!$C:$C,dim_produits!$A:$A,""),"")</f>
        <v>14</v>
      </c>
      <c r="D205">
        <v>2</v>
      </c>
      <c r="E205" s="12">
        <v>750</v>
      </c>
      <c r="F205" s="12">
        <f t="shared" si="11"/>
        <v>1500</v>
      </c>
      <c r="G205" s="12">
        <f>_xlfn.XLOOKUP(I205,dim_lignes_achat!$L:$L,dim_lignes_achat!$H:$H,"Nicht gefunden",0)</f>
        <v>554.16666666666663</v>
      </c>
      <c r="H205" s="12">
        <f t="shared" si="13"/>
        <v>1108.3333333333333</v>
      </c>
      <c r="I205" t="s">
        <v>373</v>
      </c>
      <c r="L205" t="str">
        <f>IF(ISNUMBER(MATCH(I205,dim_produits!$C:$C,0)),"OK","MANQUANT")</f>
        <v>OK</v>
      </c>
    </row>
    <row r="206" spans="1:12">
      <c r="A206">
        <f t="shared" si="12"/>
        <v>205</v>
      </c>
      <c r="B206">
        <v>18</v>
      </c>
      <c r="C206">
        <f>IFERROR(_xlfn.XLOOKUP(I206,dim_produits!$C:$C,dim_produits!$A:$A,""),"")</f>
        <v>53</v>
      </c>
      <c r="D206">
        <v>2</v>
      </c>
      <c r="E206" s="12">
        <v>800</v>
      </c>
      <c r="F206" s="12">
        <f t="shared" si="11"/>
        <v>1600</v>
      </c>
      <c r="G206" s="12">
        <f>_xlfn.XLOOKUP(I206,dim_lignes_achat!$L:$L,dim_lignes_achat!$H:$H,"Nicht gefunden",0)</f>
        <v>600</v>
      </c>
      <c r="H206" s="12">
        <f t="shared" si="13"/>
        <v>1200</v>
      </c>
      <c r="I206" t="s">
        <v>370</v>
      </c>
      <c r="L206" t="str">
        <f>IF(ISNUMBER(MATCH(I206,dim_produits!$C:$C,0)),"OK","MANQUANT")</f>
        <v>OK</v>
      </c>
    </row>
    <row r="207" spans="1:12">
      <c r="A207">
        <f t="shared" si="12"/>
        <v>206</v>
      </c>
      <c r="B207">
        <v>18</v>
      </c>
      <c r="C207">
        <f>IFERROR(_xlfn.XLOOKUP(I207,dim_produits!$C:$C,dim_produits!$A:$A,""),"")</f>
        <v>11</v>
      </c>
      <c r="D207">
        <v>2</v>
      </c>
      <c r="E207" s="12">
        <v>750</v>
      </c>
      <c r="F207" s="12">
        <f t="shared" si="11"/>
        <v>1500</v>
      </c>
      <c r="G207" s="12">
        <f>_xlfn.XLOOKUP(I207,dim_lignes_achat!$L:$L,dim_lignes_achat!$H:$H,"Nicht gefunden",0)</f>
        <v>650</v>
      </c>
      <c r="H207" s="12">
        <f t="shared" si="13"/>
        <v>1300</v>
      </c>
      <c r="I207" t="s">
        <v>223</v>
      </c>
      <c r="L207" t="str">
        <f>IF(ISNUMBER(MATCH(I207,dim_produits!$C:$C,0)),"OK","MANQUANT")</f>
        <v>OK</v>
      </c>
    </row>
    <row r="208" spans="1:12">
      <c r="A208">
        <f t="shared" si="12"/>
        <v>207</v>
      </c>
      <c r="B208">
        <v>19</v>
      </c>
      <c r="C208">
        <f>IFERROR(_xlfn.XLOOKUP(I208,dim_produits!$C:$C,dim_produits!$A:$A,""),"")</f>
        <v>9</v>
      </c>
      <c r="D208">
        <v>15</v>
      </c>
      <c r="E208" s="12">
        <v>750</v>
      </c>
      <c r="F208" s="12">
        <f t="shared" si="11"/>
        <v>11250</v>
      </c>
      <c r="G208" s="12">
        <f>_xlfn.XLOOKUP(I208,dim_lignes_achat!$L:$L,dim_lignes_achat!$H:$H,"Nicht gefunden",0)</f>
        <v>650</v>
      </c>
      <c r="H208" s="12">
        <f t="shared" si="13"/>
        <v>9750</v>
      </c>
      <c r="I208" t="s">
        <v>222</v>
      </c>
      <c r="L208" t="str">
        <f>IF(ISNUMBER(MATCH(I208,dim_produits!$C:$C,0)),"OK","MANQUANT")</f>
        <v>OK</v>
      </c>
    </row>
    <row r="209" spans="1:12">
      <c r="A209">
        <f t="shared" si="12"/>
        <v>208</v>
      </c>
      <c r="B209">
        <v>19</v>
      </c>
      <c r="C209">
        <f>IFERROR(_xlfn.XLOOKUP(I209,dim_produits!$C:$C,dim_produits!$A:$A,""),"")</f>
        <v>54</v>
      </c>
      <c r="D209">
        <v>14</v>
      </c>
      <c r="E209" s="12">
        <v>800</v>
      </c>
      <c r="F209" s="12">
        <f t="shared" si="11"/>
        <v>11200</v>
      </c>
      <c r="G209" s="12">
        <f>_xlfn.XLOOKUP(I209,dim_lignes_achat!$L:$L,dim_lignes_achat!$H:$H,"Nicht gefunden",0)</f>
        <v>595.83333333333337</v>
      </c>
      <c r="H209" s="12">
        <f t="shared" si="13"/>
        <v>8341.6666666666679</v>
      </c>
      <c r="I209" t="s">
        <v>235</v>
      </c>
      <c r="L209" t="str">
        <f>IF(ISNUMBER(MATCH(I209,dim_produits!$C:$C,0)),"OK","MANQUANT")</f>
        <v>OK</v>
      </c>
    </row>
    <row r="210" spans="1:12">
      <c r="A210">
        <f t="shared" si="12"/>
        <v>209</v>
      </c>
      <c r="B210">
        <v>19</v>
      </c>
      <c r="C210">
        <f>IFERROR(_xlfn.XLOOKUP(I210,dim_produits!$C:$C,dim_produits!$A:$A,""),"")</f>
        <v>51</v>
      </c>
      <c r="D210">
        <v>1</v>
      </c>
      <c r="E210" s="68">
        <v>1500</v>
      </c>
      <c r="F210" s="12">
        <f t="shared" si="11"/>
        <v>1500</v>
      </c>
      <c r="G210" s="68">
        <f>_xlfn.XLOOKUP(I210,dim_lignes_achat!$L:$L,dim_lignes_achat!$H:$H,"Nicht gefunden",0)</f>
        <v>991.66666666666663</v>
      </c>
      <c r="H210" s="12">
        <f t="shared" si="13"/>
        <v>991.66666666666663</v>
      </c>
      <c r="I210" t="s">
        <v>236</v>
      </c>
      <c r="L210" t="str">
        <f>IF(ISNUMBER(MATCH(I210,dim_produits!$C:$C,0)),"OK","MANQUANT")</f>
        <v>OK</v>
      </c>
    </row>
    <row r="211" spans="1:12">
      <c r="A211">
        <f t="shared" si="12"/>
        <v>210</v>
      </c>
      <c r="B211">
        <v>19</v>
      </c>
      <c r="C211">
        <f>IFERROR(_xlfn.XLOOKUP(I211,dim_produits!$C:$C,dim_produits!$A:$A,""),"")</f>
        <v>16</v>
      </c>
      <c r="D211">
        <v>8</v>
      </c>
      <c r="E211" s="12">
        <v>750</v>
      </c>
      <c r="F211" s="12">
        <f t="shared" si="11"/>
        <v>6000</v>
      </c>
      <c r="G211" s="12">
        <f>_xlfn.XLOOKUP(I211,dim_lignes_achat!$L:$L,dim_lignes_achat!$H:$H,"Nicht gefunden",0)</f>
        <v>650</v>
      </c>
      <c r="H211" s="12">
        <f t="shared" si="13"/>
        <v>5200</v>
      </c>
      <c r="I211" t="s">
        <v>419</v>
      </c>
      <c r="L211" t="str">
        <f>IF(ISNUMBER(MATCH(I211,dim_produits!$C:$C,0)),"OK","MANQUANT")</f>
        <v>OK</v>
      </c>
    </row>
    <row r="212" spans="1:12">
      <c r="A212">
        <f t="shared" si="12"/>
        <v>211</v>
      </c>
      <c r="B212">
        <v>19</v>
      </c>
      <c r="C212">
        <f>IFERROR(_xlfn.XLOOKUP(I212,dim_produits!$C:$C,dim_produits!$A:$A,""),"")</f>
        <v>11</v>
      </c>
      <c r="D212">
        <v>1</v>
      </c>
      <c r="E212" s="12">
        <v>750</v>
      </c>
      <c r="F212" s="12">
        <f t="shared" si="11"/>
        <v>750</v>
      </c>
      <c r="G212" s="12">
        <f>_xlfn.XLOOKUP(I212,dim_lignes_achat!$L:$L,dim_lignes_achat!$H:$H,"Nicht gefunden",0)</f>
        <v>650</v>
      </c>
      <c r="H212" s="12">
        <f t="shared" si="13"/>
        <v>650</v>
      </c>
      <c r="I212" t="s">
        <v>223</v>
      </c>
      <c r="L212" t="str">
        <f>IF(ISNUMBER(MATCH(I212,dim_produits!$C:$C,0)),"OK","MANQUANT")</f>
        <v>OK</v>
      </c>
    </row>
    <row r="213" spans="1:12">
      <c r="A213">
        <f t="shared" si="12"/>
        <v>212</v>
      </c>
      <c r="B213">
        <v>19</v>
      </c>
      <c r="C213">
        <f>IFERROR(_xlfn.XLOOKUP(I213,dim_produits!$C:$C,dim_produits!$A:$A,""),"")</f>
        <v>53</v>
      </c>
      <c r="D213">
        <v>3</v>
      </c>
      <c r="E213" s="12">
        <v>800</v>
      </c>
      <c r="F213" s="12">
        <f t="shared" si="11"/>
        <v>2400</v>
      </c>
      <c r="G213" s="12">
        <f>_xlfn.XLOOKUP(I213,dim_lignes_achat!$L:$L,dim_lignes_achat!$H:$H,"Nicht gefunden",0)</f>
        <v>600</v>
      </c>
      <c r="H213" s="12">
        <f t="shared" si="13"/>
        <v>1800</v>
      </c>
      <c r="I213" t="s">
        <v>370</v>
      </c>
      <c r="L213" t="str">
        <f>IF(ISNUMBER(MATCH(I213,dim_produits!$C:$C,0)),"OK","MANQUANT")</f>
        <v>OK</v>
      </c>
    </row>
    <row r="214" spans="1:12">
      <c r="A214">
        <f t="shared" si="12"/>
        <v>213</v>
      </c>
      <c r="B214">
        <v>19</v>
      </c>
      <c r="C214">
        <f>IFERROR(_xlfn.XLOOKUP(I214,dim_produits!$C:$C,dim_produits!$A:$A,""),"")</f>
        <v>14</v>
      </c>
      <c r="D214">
        <v>5</v>
      </c>
      <c r="E214" s="12">
        <v>750</v>
      </c>
      <c r="F214" s="12">
        <f t="shared" si="11"/>
        <v>3750</v>
      </c>
      <c r="G214" s="12">
        <f>_xlfn.XLOOKUP(I214,dim_lignes_achat!$L:$L,dim_lignes_achat!$H:$H,"Nicht gefunden",0)</f>
        <v>554.16666666666663</v>
      </c>
      <c r="H214" s="12">
        <f t="shared" si="13"/>
        <v>2770.833333333333</v>
      </c>
      <c r="I214" t="s">
        <v>373</v>
      </c>
      <c r="L214" t="str">
        <f>IF(ISNUMBER(MATCH(I214,dim_produits!$C:$C,0)),"OK","MANQUANT")</f>
        <v>OK</v>
      </c>
    </row>
    <row r="215" spans="1:12">
      <c r="A215">
        <f t="shared" si="12"/>
        <v>214</v>
      </c>
      <c r="B215">
        <v>19</v>
      </c>
      <c r="C215">
        <f>IFERROR(_xlfn.XLOOKUP(I215,dim_produits!$C:$C,dim_produits!$A:$A,""),"")</f>
        <v>7</v>
      </c>
      <c r="D215">
        <v>3</v>
      </c>
      <c r="E215" s="12">
        <v>750</v>
      </c>
      <c r="F215" s="12">
        <f t="shared" si="11"/>
        <v>2250</v>
      </c>
      <c r="G215" s="12">
        <f>_xlfn.XLOOKUP(I215,dim_lignes_achat!$L:$L,dim_lignes_achat!$H:$H,"Nicht gefunden",0)</f>
        <v>600</v>
      </c>
      <c r="H215" s="12">
        <f t="shared" si="13"/>
        <v>1800</v>
      </c>
      <c r="I215" t="s">
        <v>220</v>
      </c>
      <c r="L215" t="str">
        <f>IF(ISNUMBER(MATCH(I215,dim_produits!$C:$C,0)),"OK","MANQUANT")</f>
        <v>OK</v>
      </c>
    </row>
    <row r="216" spans="1:12">
      <c r="A216">
        <f t="shared" si="12"/>
        <v>215</v>
      </c>
      <c r="B216">
        <v>19</v>
      </c>
      <c r="C216">
        <f>IFERROR(_xlfn.XLOOKUP(I216,dim_produits!$C:$C,dim_produits!$A:$A,""),"")</f>
        <v>72</v>
      </c>
      <c r="D216">
        <v>1</v>
      </c>
      <c r="E216" s="12">
        <v>500</v>
      </c>
      <c r="F216" s="12">
        <f t="shared" si="11"/>
        <v>500</v>
      </c>
      <c r="G216" s="12">
        <f>_xlfn.XLOOKUP(I216,dim_lignes_achat!$L:$L,dim_lignes_achat!$H:$H,"Nicht gefunden",0)</f>
        <v>416.66666666666669</v>
      </c>
      <c r="H216" s="12">
        <f t="shared" si="13"/>
        <v>416.66666666666669</v>
      </c>
      <c r="I216" t="s">
        <v>195</v>
      </c>
      <c r="L216" t="str">
        <f>IF(ISNUMBER(MATCH(I216,dim_produits!$C:$C,0)),"OK","MANQUANT")</f>
        <v>OK</v>
      </c>
    </row>
    <row r="217" spans="1:12">
      <c r="A217">
        <f t="shared" si="12"/>
        <v>216</v>
      </c>
      <c r="B217">
        <v>19</v>
      </c>
      <c r="C217">
        <f>IFERROR(_xlfn.XLOOKUP(I217,dim_produits!$C:$C,dim_produits!$A:$A,""),"")</f>
        <v>36</v>
      </c>
      <c r="D217">
        <v>2</v>
      </c>
      <c r="E217" s="12">
        <v>300</v>
      </c>
      <c r="F217" s="12">
        <f t="shared" si="11"/>
        <v>600</v>
      </c>
      <c r="G217" s="12">
        <f>_xlfn.XLOOKUP(I217,dim_lignes_achat!$L:$L,dim_lignes_achat!$H:$H,"Nicht gefunden",0)</f>
        <v>200</v>
      </c>
      <c r="H217" s="12">
        <f t="shared" si="13"/>
        <v>400</v>
      </c>
      <c r="I217" t="s">
        <v>215</v>
      </c>
      <c r="L217" t="str">
        <f>IF(ISNUMBER(MATCH(I217,dim_produits!$C:$C,0)),"OK","MANQUANT")</f>
        <v>OK</v>
      </c>
    </row>
    <row r="218" spans="1:12">
      <c r="A218">
        <f t="shared" si="12"/>
        <v>217</v>
      </c>
      <c r="B218">
        <v>19</v>
      </c>
      <c r="C218">
        <f>IFERROR(_xlfn.XLOOKUP(I218,dim_produits!$C:$C,dim_produits!$A:$A,""),"")</f>
        <v>72</v>
      </c>
      <c r="D218">
        <v>1</v>
      </c>
      <c r="E218" s="12">
        <v>500</v>
      </c>
      <c r="F218" s="12">
        <f t="shared" si="11"/>
        <v>500</v>
      </c>
      <c r="G218" s="12">
        <f>_xlfn.XLOOKUP(I218,dim_lignes_achat!$L:$L,dim_lignes_achat!$H:$H,"Nicht gefunden",0)</f>
        <v>416.66666666666669</v>
      </c>
      <c r="H218" s="12">
        <f t="shared" si="13"/>
        <v>416.66666666666669</v>
      </c>
      <c r="I218" t="s">
        <v>195</v>
      </c>
      <c r="L218" t="str">
        <f>IF(ISNUMBER(MATCH(I218,dim_produits!$C:$C,0)),"OK","MANQUANT")</f>
        <v>OK</v>
      </c>
    </row>
    <row r="219" spans="1:12">
      <c r="A219">
        <f t="shared" si="12"/>
        <v>218</v>
      </c>
      <c r="B219">
        <v>19</v>
      </c>
      <c r="C219">
        <f>IFERROR(_xlfn.XLOOKUP(I219,dim_produits!$C:$C,dim_produits!$A:$A,""),"")</f>
        <v>33</v>
      </c>
      <c r="D219">
        <v>1</v>
      </c>
      <c r="E219" s="12">
        <v>400</v>
      </c>
      <c r="F219" s="12">
        <f t="shared" si="11"/>
        <v>400</v>
      </c>
      <c r="G219" s="12">
        <f>_xlfn.XLOOKUP(I219,dim_lignes_achat!$L:$L,dim_lignes_achat!$H:$H,"Nicht gefunden",0)</f>
        <v>225</v>
      </c>
      <c r="H219" s="12">
        <f t="shared" si="13"/>
        <v>225</v>
      </c>
      <c r="I219" t="s">
        <v>212</v>
      </c>
      <c r="L219" t="str">
        <f>IF(ISNUMBER(MATCH(I219,dim_produits!$C:$C,0)),"OK","MANQUANT")</f>
        <v>OK</v>
      </c>
    </row>
    <row r="220" spans="1:12">
      <c r="A220">
        <f t="shared" si="12"/>
        <v>219</v>
      </c>
      <c r="B220">
        <v>19</v>
      </c>
      <c r="C220">
        <f>IFERROR(_xlfn.XLOOKUP(I220,dim_produits!$C:$C,dim_produits!$A:$A,""),"")</f>
        <v>52</v>
      </c>
      <c r="D220">
        <v>3</v>
      </c>
      <c r="E220" s="12">
        <v>600</v>
      </c>
      <c r="F220" s="12">
        <f t="shared" si="11"/>
        <v>1800</v>
      </c>
      <c r="G220" s="12">
        <f>_xlfn.XLOOKUP(I220,dim_lignes_achat!$L:$L,dim_lignes_achat!$H:$H,"Nicht gefunden",0)</f>
        <v>470.83333333333331</v>
      </c>
      <c r="H220" s="12">
        <f t="shared" si="13"/>
        <v>1412.5</v>
      </c>
      <c r="I220" t="s">
        <v>237</v>
      </c>
      <c r="L220" t="str">
        <f>IF(ISNUMBER(MATCH(I220,dim_produits!$C:$C,0)),"OK","MANQUANT")</f>
        <v>OK</v>
      </c>
    </row>
    <row r="221" spans="1:12">
      <c r="A221">
        <f t="shared" si="12"/>
        <v>220</v>
      </c>
      <c r="B221">
        <v>19</v>
      </c>
      <c r="C221">
        <f>IFERROR(_xlfn.XLOOKUP(I221,dim_produits!$C:$C,dim_produits!$A:$A,""),"")</f>
        <v>6</v>
      </c>
      <c r="D221">
        <v>2</v>
      </c>
      <c r="E221" s="12">
        <v>500</v>
      </c>
      <c r="F221" s="12">
        <f t="shared" si="11"/>
        <v>1000</v>
      </c>
      <c r="G221" s="12">
        <f>_xlfn.XLOOKUP(I221,dim_lignes_achat!$L:$L,dim_lignes_achat!$H:$H,"Nicht gefunden",0)</f>
        <v>379.99200000000002</v>
      </c>
      <c r="H221" s="12">
        <f t="shared" si="13"/>
        <v>759.98400000000004</v>
      </c>
      <c r="I221" t="s">
        <v>368</v>
      </c>
      <c r="L221" t="str">
        <f>IF(ISNUMBER(MATCH(I221,dim_produits!$C:$C,0)),"OK","MANQUANT")</f>
        <v>OK</v>
      </c>
    </row>
    <row r="222" spans="1:12">
      <c r="A222">
        <f t="shared" si="12"/>
        <v>221</v>
      </c>
      <c r="B222">
        <v>19</v>
      </c>
      <c r="C222">
        <f>IFERROR(_xlfn.XLOOKUP(I222,dim_produits!$C:$C,dim_produits!$A:$A,""),"")</f>
        <v>17</v>
      </c>
      <c r="D222">
        <v>6</v>
      </c>
      <c r="E222" s="12">
        <v>600</v>
      </c>
      <c r="F222" s="12">
        <f t="shared" si="11"/>
        <v>3600</v>
      </c>
      <c r="G222" s="12">
        <f>_xlfn.XLOOKUP(I222,dim_lignes_achat!$L:$L,dim_lignes_achat!$H:$H,"Nicht gefunden",0)</f>
        <v>450</v>
      </c>
      <c r="H222" s="12">
        <f t="shared" si="13"/>
        <v>2700</v>
      </c>
      <c r="I222" t="s">
        <v>225</v>
      </c>
      <c r="L222" t="str">
        <f>IF(ISNUMBER(MATCH(I222,dim_produits!$C:$C,0)),"OK","MANQUANT")</f>
        <v>OK</v>
      </c>
    </row>
    <row r="223" spans="1:12">
      <c r="A223">
        <f t="shared" si="12"/>
        <v>222</v>
      </c>
      <c r="B223">
        <v>19</v>
      </c>
      <c r="C223">
        <f>IFERROR(_xlfn.XLOOKUP(I223,dim_produits!$C:$C,dim_produits!$A:$A,""),"")</f>
        <v>31</v>
      </c>
      <c r="D223">
        <v>2</v>
      </c>
      <c r="E223" s="12">
        <v>1000</v>
      </c>
      <c r="F223" s="12">
        <f t="shared" si="11"/>
        <v>2000</v>
      </c>
      <c r="G223" s="12">
        <f>_xlfn.XLOOKUP(I223,dim_lignes_achat!$L:$L,dim_lignes_achat!$H:$H,"Nicht gefunden",0)</f>
        <v>900</v>
      </c>
      <c r="H223" s="12">
        <f t="shared" si="13"/>
        <v>1800</v>
      </c>
      <c r="I223" t="s">
        <v>200</v>
      </c>
      <c r="L223" t="str">
        <f>IF(ISNUMBER(MATCH(I223,dim_produits!$C:$C,0)),"OK","MANQUANT")</f>
        <v>OK</v>
      </c>
    </row>
    <row r="224" spans="1:12">
      <c r="A224">
        <f t="shared" si="12"/>
        <v>223</v>
      </c>
      <c r="B224">
        <v>19</v>
      </c>
      <c r="C224">
        <f>IFERROR(_xlfn.XLOOKUP(I224,dim_produits!$C:$C,dim_produits!$A:$A,""),"")</f>
        <v>74</v>
      </c>
      <c r="D224">
        <v>1</v>
      </c>
      <c r="E224" s="12">
        <v>800</v>
      </c>
      <c r="F224" s="12">
        <f t="shared" si="11"/>
        <v>800</v>
      </c>
      <c r="G224" s="12">
        <f>_xlfn.XLOOKUP(I224,dim_lignes_achat!$L:$L,dim_lignes_achat!$H:$H,"Nicht gefunden",0)</f>
        <v>700</v>
      </c>
      <c r="H224" s="12">
        <f t="shared" si="13"/>
        <v>700</v>
      </c>
      <c r="I224" t="s">
        <v>198</v>
      </c>
      <c r="L224" t="str">
        <f>IF(ISNUMBER(MATCH(I224,dim_produits!$C:$C,0)),"OK","MANQUANT")</f>
        <v>OK</v>
      </c>
    </row>
    <row r="225" spans="1:12">
      <c r="A225">
        <f t="shared" si="12"/>
        <v>224</v>
      </c>
      <c r="B225">
        <v>19</v>
      </c>
      <c r="C225">
        <f>IFERROR(_xlfn.XLOOKUP(I225,dim_produits!$C:$C,dim_produits!$A:$A,""),"")</f>
        <v>2</v>
      </c>
      <c r="D225">
        <v>2</v>
      </c>
      <c r="E225" s="12">
        <v>50</v>
      </c>
      <c r="F225" s="12">
        <f t="shared" si="11"/>
        <v>100</v>
      </c>
      <c r="G225" s="12">
        <f>_xlfn.XLOOKUP(I225,dim_lignes_achat!$L:$L,dim_lignes_achat!$H:$H,"Nicht gefunden",0)</f>
        <v>18.75</v>
      </c>
      <c r="H225" s="12">
        <f t="shared" si="13"/>
        <v>37.5</v>
      </c>
      <c r="I225" t="s">
        <v>165</v>
      </c>
      <c r="L225" t="str">
        <f>IF(ISNUMBER(MATCH(I225,dim_produits!$C:$C,0)),"OK","MANQUANT")</f>
        <v>OK</v>
      </c>
    </row>
    <row r="226" spans="1:12">
      <c r="A226">
        <f t="shared" si="12"/>
        <v>225</v>
      </c>
      <c r="B226">
        <v>19</v>
      </c>
      <c r="C226">
        <f>IFERROR(_xlfn.XLOOKUP(I226,dim_produits!$C:$C,dim_produits!$A:$A,""),"")</f>
        <v>85</v>
      </c>
      <c r="D226">
        <v>1</v>
      </c>
      <c r="E226" s="12">
        <v>500</v>
      </c>
      <c r="F226" s="12">
        <f t="shared" si="11"/>
        <v>500</v>
      </c>
      <c r="G226" s="12">
        <f>_xlfn.XLOOKUP(I226,dim_lignes_achat!$L:$L,dim_lignes_achat!$H:$H,"Nicht gefunden",0)</f>
        <v>391.66</v>
      </c>
      <c r="H226" s="12">
        <f t="shared" si="13"/>
        <v>391.66</v>
      </c>
      <c r="I226" t="s">
        <v>210</v>
      </c>
      <c r="L226" t="str">
        <f>IF(ISNUMBER(MATCH(I226,dim_produits!$C:$C,0)),"OK","MANQUANT")</f>
        <v>OK</v>
      </c>
    </row>
    <row r="227" spans="1:12">
      <c r="A227">
        <f t="shared" si="12"/>
        <v>226</v>
      </c>
      <c r="B227">
        <v>19</v>
      </c>
      <c r="C227">
        <f>IFERROR(_xlfn.XLOOKUP(I227,dim_produits!$C:$C,dim_produits!$A:$A,""),"")</f>
        <v>40</v>
      </c>
      <c r="D227">
        <v>10</v>
      </c>
      <c r="E227" s="12">
        <v>50</v>
      </c>
      <c r="F227" s="12">
        <f t="shared" si="11"/>
        <v>500</v>
      </c>
      <c r="G227" s="12">
        <f>_xlfn.XLOOKUP(I227,dim_lignes_achat!$L:$L,dim_lignes_achat!$H:$H,"Nicht gefunden",0)</f>
        <v>35.256410256410255</v>
      </c>
      <c r="H227" s="12">
        <f t="shared" si="13"/>
        <v>352.56410256410254</v>
      </c>
      <c r="I227" t="s">
        <v>156</v>
      </c>
      <c r="L227" t="str">
        <f>IF(ISNUMBER(MATCH(I227,dim_produits!$C:$C,0)),"OK","MANQUANT")</f>
        <v>OK</v>
      </c>
    </row>
    <row r="228" spans="1:12">
      <c r="A228">
        <f t="shared" si="12"/>
        <v>227</v>
      </c>
      <c r="B228">
        <v>19</v>
      </c>
      <c r="C228">
        <f>IFERROR(_xlfn.XLOOKUP(I228,dim_produits!$C:$C,dim_produits!$A:$A,""),"")</f>
        <v>98</v>
      </c>
      <c r="D228">
        <v>5</v>
      </c>
      <c r="E228" s="12">
        <v>50</v>
      </c>
      <c r="F228" s="12">
        <f t="shared" si="11"/>
        <v>250</v>
      </c>
      <c r="G228" s="12">
        <f>_xlfn.XLOOKUP(I228,dim_lignes_achat!$L:$L,dim_lignes_achat!$H:$H,"Nicht gefunden",0)</f>
        <v>39</v>
      </c>
      <c r="H228" s="12">
        <f t="shared" si="13"/>
        <v>195</v>
      </c>
      <c r="I228" t="s">
        <v>159</v>
      </c>
      <c r="L228" t="str">
        <f>IF(ISNUMBER(MATCH(I228,dim_produits!$C:$C,0)),"OK","MANQUANT")</f>
        <v>OK</v>
      </c>
    </row>
    <row r="229" spans="1:12">
      <c r="A229">
        <f t="shared" si="12"/>
        <v>228</v>
      </c>
      <c r="B229">
        <v>19</v>
      </c>
      <c r="C229">
        <f>IFERROR(_xlfn.XLOOKUP(I229,dim_produits!$C:$C,dim_produits!$A:$A,""),"")</f>
        <v>81</v>
      </c>
      <c r="D229">
        <v>1</v>
      </c>
      <c r="E229" s="12">
        <v>250</v>
      </c>
      <c r="F229" s="12">
        <f t="shared" si="11"/>
        <v>250</v>
      </c>
      <c r="G229" s="12">
        <f>_xlfn.XLOOKUP(I229,dim_lignes_achat!$L:$L,dim_lignes_achat!$H:$H,"Nicht gefunden",0)</f>
        <v>241.66</v>
      </c>
      <c r="H229" s="12">
        <f t="shared" si="13"/>
        <v>241.66</v>
      </c>
      <c r="I229" t="s">
        <v>206</v>
      </c>
      <c r="L229" t="str">
        <f>IF(ISNUMBER(MATCH(I229,dim_produits!$C:$C,0)),"OK","MANQUANT")</f>
        <v>OK</v>
      </c>
    </row>
    <row r="230" spans="1:12">
      <c r="A230">
        <f t="shared" si="12"/>
        <v>229</v>
      </c>
      <c r="B230">
        <v>19</v>
      </c>
      <c r="C230">
        <f>IFERROR(_xlfn.XLOOKUP(I230,dim_produits!$C:$C,dim_produits!$A:$A,""),"")</f>
        <v>23</v>
      </c>
      <c r="D230">
        <v>1</v>
      </c>
      <c r="E230" s="12">
        <v>800</v>
      </c>
      <c r="F230" s="12">
        <f t="shared" si="11"/>
        <v>800</v>
      </c>
      <c r="G230" s="12">
        <f>_xlfn.XLOOKUP(I230,dim_lignes_achat!$L:$L,dim_lignes_achat!$H:$H,"Nicht gefunden",0)</f>
        <v>666.66666666666663</v>
      </c>
      <c r="H230" s="12">
        <f t="shared" si="13"/>
        <v>666.66666666666663</v>
      </c>
      <c r="I230" t="s">
        <v>190</v>
      </c>
      <c r="L230" t="str">
        <f>IF(ISNUMBER(MATCH(I230,dim_produits!$C:$C,0)),"OK","MANQUANT")</f>
        <v>OK</v>
      </c>
    </row>
    <row r="231" spans="1:12">
      <c r="A231">
        <f t="shared" si="12"/>
        <v>230</v>
      </c>
      <c r="B231">
        <v>19</v>
      </c>
      <c r="C231">
        <f>IFERROR(_xlfn.XLOOKUP(I231,dim_produits!$C:$C,dim_produits!$A:$A,""),"")</f>
        <v>58</v>
      </c>
      <c r="D231">
        <v>1</v>
      </c>
      <c r="E231" s="12">
        <v>400</v>
      </c>
      <c r="F231" s="12">
        <f t="shared" si="11"/>
        <v>400</v>
      </c>
      <c r="G231" s="12">
        <f>_xlfn.XLOOKUP(I231,dim_lignes_achat!$L:$L,dim_lignes_achat!$H:$H,"Nicht gefunden",0)</f>
        <v>333.33333333333331</v>
      </c>
      <c r="H231" s="12">
        <f t="shared" si="13"/>
        <v>333.33333333333331</v>
      </c>
      <c r="I231" t="s">
        <v>219</v>
      </c>
      <c r="L231" t="str">
        <f>IF(ISNUMBER(MATCH(I231,dim_produits!$C:$C,0)),"OK","MANQUANT")</f>
        <v>OK</v>
      </c>
    </row>
    <row r="232" spans="1:12">
      <c r="A232">
        <f t="shared" si="12"/>
        <v>231</v>
      </c>
      <c r="B232">
        <v>19</v>
      </c>
      <c r="C232">
        <f>IFERROR(_xlfn.XLOOKUP(I232,dim_produits!$C:$C,dim_produits!$A:$A,""),"")</f>
        <v>4</v>
      </c>
      <c r="D232">
        <v>4</v>
      </c>
      <c r="E232" s="12">
        <v>25</v>
      </c>
      <c r="F232" s="12">
        <f t="shared" si="11"/>
        <v>100</v>
      </c>
      <c r="G232" s="12">
        <f>_xlfn.XLOOKUP(I232,dim_lignes_achat!$L:$L,dim_lignes_achat!$H:$H,"Nicht gefunden",0)</f>
        <v>39.166666666666664</v>
      </c>
      <c r="H232" s="12">
        <f t="shared" si="13"/>
        <v>156.66666666666666</v>
      </c>
      <c r="I232" t="s">
        <v>168</v>
      </c>
      <c r="L232" t="str">
        <f>IF(ISNUMBER(MATCH(I232,dim_produits!$C:$C,0)),"OK","MANQUANT")</f>
        <v>OK</v>
      </c>
    </row>
    <row r="233" spans="1:12">
      <c r="A233">
        <f t="shared" si="12"/>
        <v>232</v>
      </c>
      <c r="B233">
        <v>19</v>
      </c>
      <c r="C233">
        <f>IFERROR(_xlfn.XLOOKUP(I233,dim_produits!$C:$C,dim_produits!$A:$A,""),"")</f>
        <v>84</v>
      </c>
      <c r="D233">
        <v>1</v>
      </c>
      <c r="E233" s="12">
        <v>700</v>
      </c>
      <c r="F233" s="12">
        <f t="shared" si="11"/>
        <v>700</v>
      </c>
      <c r="G233" s="12">
        <f>_xlfn.XLOOKUP(I233,dim_lignes_achat!$L:$L,dim_lignes_achat!$H:$H,"Nicht gefunden",0)</f>
        <v>583.33333333333337</v>
      </c>
      <c r="H233" s="12">
        <f t="shared" si="13"/>
        <v>583.33333333333337</v>
      </c>
      <c r="I233" t="s">
        <v>209</v>
      </c>
      <c r="L233" t="str">
        <f>IF(ISNUMBER(MATCH(I233,dim_produits!$C:$C,0)),"OK","MANQUANT")</f>
        <v>OK</v>
      </c>
    </row>
    <row r="234" spans="1:12">
      <c r="A234">
        <f t="shared" si="12"/>
        <v>233</v>
      </c>
      <c r="B234">
        <v>19</v>
      </c>
      <c r="C234">
        <f>IFERROR(_xlfn.XLOOKUP(I234,dim_produits!$C:$C,dim_produits!$A:$A,""),"")</f>
        <v>77</v>
      </c>
      <c r="D234">
        <v>1</v>
      </c>
      <c r="E234" s="12">
        <v>700</v>
      </c>
      <c r="F234" s="12">
        <f t="shared" si="11"/>
        <v>700</v>
      </c>
      <c r="G234" s="12">
        <f>_xlfn.XLOOKUP(I234,dim_lignes_achat!$L:$L,dim_lignes_achat!$H:$H,"Nicht gefunden",0)</f>
        <v>550</v>
      </c>
      <c r="H234" s="12">
        <f t="shared" si="13"/>
        <v>550</v>
      </c>
      <c r="I234" t="s">
        <v>202</v>
      </c>
      <c r="L234" t="str">
        <f>IF(ISNUMBER(MATCH(I234,dim_produits!$C:$C,0)),"OK","MANQUANT")</f>
        <v>OK</v>
      </c>
    </row>
    <row r="235" spans="1:12">
      <c r="A235">
        <f t="shared" si="12"/>
        <v>234</v>
      </c>
      <c r="B235">
        <v>19</v>
      </c>
      <c r="C235">
        <f>IFERROR(_xlfn.XLOOKUP(I235,dim_produits!$C:$C,dim_produits!$A:$A,""),"")</f>
        <v>56</v>
      </c>
      <c r="D235">
        <v>5</v>
      </c>
      <c r="E235" s="12">
        <v>900</v>
      </c>
      <c r="F235" s="12">
        <f t="shared" si="11"/>
        <v>4500</v>
      </c>
      <c r="G235" s="12">
        <f>_xlfn.XLOOKUP(I235,dim_lignes_achat!$L:$L,dim_lignes_achat!$H:$H,"Nicht gefunden",0)</f>
        <v>650</v>
      </c>
      <c r="H235" s="12">
        <f t="shared" si="13"/>
        <v>3250</v>
      </c>
      <c r="I235" t="s">
        <v>238</v>
      </c>
      <c r="L235" t="str">
        <f>IF(ISNUMBER(MATCH(I235,dim_produits!$C:$C,0)),"OK","MANQUANT")</f>
        <v>OK</v>
      </c>
    </row>
    <row r="236" spans="1:12">
      <c r="A236">
        <f t="shared" si="12"/>
        <v>235</v>
      </c>
      <c r="B236">
        <v>19</v>
      </c>
      <c r="C236">
        <f>IFERROR(_xlfn.XLOOKUP(I236,dim_produits!$C:$C,dim_produits!$A:$A,""),"")</f>
        <v>51</v>
      </c>
      <c r="D236">
        <v>2</v>
      </c>
      <c r="E236" s="12">
        <v>1500</v>
      </c>
      <c r="F236" s="12">
        <f t="shared" ref="F236:F299" si="14">D236*E236</f>
        <v>3000</v>
      </c>
      <c r="G236" s="12">
        <f>_xlfn.XLOOKUP(I236,dim_lignes_achat!$L:$L,dim_lignes_achat!$H:$H,"Nicht gefunden",0)</f>
        <v>991.66666666666663</v>
      </c>
      <c r="H236" s="12">
        <f t="shared" si="13"/>
        <v>1983.3333333333333</v>
      </c>
      <c r="I236" t="s">
        <v>236</v>
      </c>
      <c r="L236" t="str">
        <f>IF(ISNUMBER(MATCH(I236,dim_produits!$C:$C,0)),"OK","MANQUANT")</f>
        <v>OK</v>
      </c>
    </row>
    <row r="237" spans="1:12">
      <c r="A237">
        <f t="shared" si="12"/>
        <v>236</v>
      </c>
      <c r="B237">
        <v>19</v>
      </c>
      <c r="C237">
        <f>IFERROR(_xlfn.XLOOKUP(I237,dim_produits!$C:$C,dim_produits!$A:$A,""),"")</f>
        <v>15</v>
      </c>
      <c r="D237">
        <v>1</v>
      </c>
      <c r="E237" s="12">
        <v>1000</v>
      </c>
      <c r="F237" s="12">
        <f t="shared" si="14"/>
        <v>1000</v>
      </c>
      <c r="G237" s="12">
        <f>_xlfn.XLOOKUP(I237,dim_lignes_achat!$L:$L,dim_lignes_achat!$H:$H,"Nicht gefunden",0)</f>
        <v>741.66666666666663</v>
      </c>
      <c r="H237" s="12">
        <f t="shared" si="13"/>
        <v>741.66666666666663</v>
      </c>
      <c r="I237" t="s">
        <v>230</v>
      </c>
      <c r="L237" t="str">
        <f>IF(ISNUMBER(MATCH(I237,dim_produits!$C:$C,0)),"OK","MANQUANT")</f>
        <v>OK</v>
      </c>
    </row>
    <row r="238" spans="1:12">
      <c r="A238">
        <f t="shared" si="12"/>
        <v>237</v>
      </c>
      <c r="B238">
        <v>19</v>
      </c>
      <c r="C238">
        <f>IFERROR(_xlfn.XLOOKUP(I238,dim_produits!$C:$C,dim_produits!$A:$A,""),"")</f>
        <v>12</v>
      </c>
      <c r="D238">
        <v>1</v>
      </c>
      <c r="E238" s="12">
        <v>750</v>
      </c>
      <c r="F238" s="12">
        <f t="shared" si="14"/>
        <v>750</v>
      </c>
      <c r="G238" s="12">
        <f>_xlfn.XLOOKUP(I238,dim_lignes_achat!$L:$L,dim_lignes_achat!$H:$H,"Nicht gefunden",0)</f>
        <v>650</v>
      </c>
      <c r="H238" s="12">
        <f t="shared" si="13"/>
        <v>650</v>
      </c>
      <c r="I238" t="s">
        <v>229</v>
      </c>
      <c r="L238" t="str">
        <f>IF(ISNUMBER(MATCH(I238,dim_produits!$C:$C,0)),"OK","MANQUANT")</f>
        <v>OK</v>
      </c>
    </row>
    <row r="239" spans="1:12">
      <c r="A239">
        <f t="shared" si="12"/>
        <v>238</v>
      </c>
      <c r="B239">
        <v>20</v>
      </c>
      <c r="C239">
        <f>IFERROR(_xlfn.XLOOKUP(I239,dim_produits!$C:$C,dim_produits!$A:$A,""),"")</f>
        <v>41</v>
      </c>
      <c r="D239">
        <v>13</v>
      </c>
      <c r="E239" s="12">
        <v>50</v>
      </c>
      <c r="F239" s="12">
        <f t="shared" si="14"/>
        <v>650</v>
      </c>
      <c r="G239" s="12">
        <f>_xlfn.XLOOKUP(I239,dim_lignes_achat!$L:$L,dim_lignes_achat!$H:$H,"Nicht gefunden",0)</f>
        <v>37.333333333333336</v>
      </c>
      <c r="H239" s="12">
        <f t="shared" si="13"/>
        <v>485.33333333333337</v>
      </c>
      <c r="I239" t="s">
        <v>169</v>
      </c>
      <c r="L239" t="str">
        <f>IF(ISNUMBER(MATCH(I239,dim_produits!$C:$C,0)),"OK","MANQUANT")</f>
        <v>OK</v>
      </c>
    </row>
    <row r="240" spans="1:12">
      <c r="A240">
        <f t="shared" si="12"/>
        <v>239</v>
      </c>
      <c r="B240">
        <v>20</v>
      </c>
      <c r="C240">
        <f>IFERROR(_xlfn.XLOOKUP(I240,dim_produits!$C:$C,dim_produits!$A:$A,""),"")</f>
        <v>6</v>
      </c>
      <c r="D240">
        <v>3</v>
      </c>
      <c r="E240" s="12">
        <v>500</v>
      </c>
      <c r="F240" s="12">
        <f t="shared" si="14"/>
        <v>1500</v>
      </c>
      <c r="G240" s="12">
        <f>_xlfn.XLOOKUP(I240,dim_lignes_achat!$L:$L,dim_lignes_achat!$H:$H,"Nicht gefunden",0)</f>
        <v>379.99200000000002</v>
      </c>
      <c r="H240" s="12">
        <f t="shared" si="13"/>
        <v>1139.9760000000001</v>
      </c>
      <c r="I240" t="s">
        <v>368</v>
      </c>
      <c r="L240" t="str">
        <f>IF(ISNUMBER(MATCH(I240,dim_produits!$C:$C,0)),"OK","MANQUANT")</f>
        <v>OK</v>
      </c>
    </row>
    <row r="241" spans="1:12">
      <c r="A241">
        <f t="shared" si="12"/>
        <v>240</v>
      </c>
      <c r="B241">
        <v>20</v>
      </c>
      <c r="C241">
        <f>IFERROR(_xlfn.XLOOKUP(I241,dim_produits!$C:$C,dim_produits!$A:$A,""),"")</f>
        <v>14</v>
      </c>
      <c r="D241">
        <v>2</v>
      </c>
      <c r="E241" s="12">
        <v>750</v>
      </c>
      <c r="F241" s="12">
        <f t="shared" si="14"/>
        <v>1500</v>
      </c>
      <c r="G241" s="12">
        <f>_xlfn.XLOOKUP(I241,dim_lignes_achat!$L:$L,dim_lignes_achat!$H:$H,"Nicht gefunden",0)</f>
        <v>554.16666666666663</v>
      </c>
      <c r="H241" s="12">
        <f t="shared" si="13"/>
        <v>1108.3333333333333</v>
      </c>
      <c r="I241" t="s">
        <v>373</v>
      </c>
      <c r="L241" t="str">
        <f>IF(ISNUMBER(MATCH(I241,dim_produits!$C:$C,0)),"OK","MANQUANT")</f>
        <v>OK</v>
      </c>
    </row>
    <row r="242" spans="1:12">
      <c r="A242">
        <f t="shared" si="12"/>
        <v>241</v>
      </c>
      <c r="B242">
        <v>20</v>
      </c>
      <c r="C242">
        <f>IFERROR(_xlfn.XLOOKUP(I242,dim_produits!$C:$C,dim_produits!$A:$A,""),"")</f>
        <v>54</v>
      </c>
      <c r="D242">
        <v>3</v>
      </c>
      <c r="E242" s="12">
        <v>800</v>
      </c>
      <c r="F242" s="12">
        <f t="shared" si="14"/>
        <v>2400</v>
      </c>
      <c r="G242" s="12">
        <f>_xlfn.XLOOKUP(I242,dim_lignes_achat!$L:$L,dim_lignes_achat!$H:$H,"Nicht gefunden",0)</f>
        <v>595.83333333333337</v>
      </c>
      <c r="H242" s="12">
        <f t="shared" si="13"/>
        <v>1787.5</v>
      </c>
      <c r="I242" t="s">
        <v>235</v>
      </c>
      <c r="L242" t="str">
        <f>IF(ISNUMBER(MATCH(I242,dim_produits!$C:$C,0)),"OK","MANQUANT")</f>
        <v>OK</v>
      </c>
    </row>
    <row r="243" spans="1:12">
      <c r="A243">
        <f t="shared" si="12"/>
        <v>242</v>
      </c>
      <c r="B243">
        <v>20</v>
      </c>
      <c r="C243">
        <f>IFERROR(_xlfn.XLOOKUP(I243,dim_produits!$C:$C,dim_produits!$A:$A,""),"")</f>
        <v>7</v>
      </c>
      <c r="D243">
        <v>1</v>
      </c>
      <c r="E243" s="12">
        <v>750</v>
      </c>
      <c r="F243" s="12">
        <f t="shared" si="14"/>
        <v>750</v>
      </c>
      <c r="G243" s="12">
        <f>_xlfn.XLOOKUP(I243,dim_lignes_achat!$L:$L,dim_lignes_achat!$H:$H,"Nicht gefunden",0)</f>
        <v>600</v>
      </c>
      <c r="H243" s="12">
        <f t="shared" si="13"/>
        <v>600</v>
      </c>
      <c r="I243" t="s">
        <v>220</v>
      </c>
      <c r="L243" t="str">
        <f>IF(ISNUMBER(MATCH(I243,dim_produits!$C:$C,0)),"OK","MANQUANT")</f>
        <v>OK</v>
      </c>
    </row>
    <row r="244" spans="1:12">
      <c r="A244">
        <f t="shared" si="12"/>
        <v>243</v>
      </c>
      <c r="B244">
        <v>20</v>
      </c>
      <c r="C244">
        <f>IFERROR(_xlfn.XLOOKUP(I244,dim_produits!$C:$C,dim_produits!$A:$A,""),"")</f>
        <v>33</v>
      </c>
      <c r="D244">
        <v>1</v>
      </c>
      <c r="E244" s="12">
        <v>400</v>
      </c>
      <c r="F244" s="12">
        <f t="shared" si="14"/>
        <v>400</v>
      </c>
      <c r="G244" s="12">
        <f>_xlfn.XLOOKUP(I244,dim_lignes_achat!$L:$L,dim_lignes_achat!$H:$H,"Nicht gefunden",0)</f>
        <v>225</v>
      </c>
      <c r="H244" s="12">
        <f t="shared" si="13"/>
        <v>225</v>
      </c>
      <c r="I244" t="s">
        <v>212</v>
      </c>
      <c r="L244" t="str">
        <f>IF(ISNUMBER(MATCH(I244,dim_produits!$C:$C,0)),"OK","MANQUANT")</f>
        <v>OK</v>
      </c>
    </row>
    <row r="245" spans="1:12">
      <c r="A245">
        <f t="shared" si="12"/>
        <v>244</v>
      </c>
      <c r="B245">
        <v>20</v>
      </c>
      <c r="C245">
        <f>IFERROR(_xlfn.XLOOKUP(I245,dim_produits!$C:$C,dim_produits!$A:$A,""),"")</f>
        <v>52</v>
      </c>
      <c r="D245">
        <v>1</v>
      </c>
      <c r="E245" s="12">
        <v>600</v>
      </c>
      <c r="F245" s="12">
        <f t="shared" si="14"/>
        <v>600</v>
      </c>
      <c r="G245" s="12">
        <f>_xlfn.XLOOKUP(I245,dim_lignes_achat!$L:$L,dim_lignes_achat!$H:$H,"Nicht gefunden",0)</f>
        <v>470.83333333333331</v>
      </c>
      <c r="H245" s="12">
        <f t="shared" si="13"/>
        <v>470.83333333333331</v>
      </c>
      <c r="I245" t="s">
        <v>237</v>
      </c>
      <c r="L245" t="str">
        <f>IF(ISNUMBER(MATCH(I245,dim_produits!$C:$C,0)),"OK","MANQUANT")</f>
        <v>OK</v>
      </c>
    </row>
    <row r="246" spans="1:12">
      <c r="A246">
        <f t="shared" si="12"/>
        <v>245</v>
      </c>
      <c r="B246">
        <v>20</v>
      </c>
      <c r="C246">
        <f>IFERROR(_xlfn.XLOOKUP(I246,dim_produits!$C:$C,dim_produits!$A:$A,""),"")</f>
        <v>43</v>
      </c>
      <c r="D246">
        <v>1</v>
      </c>
      <c r="E246" s="12">
        <v>850</v>
      </c>
      <c r="F246" s="12">
        <f t="shared" si="14"/>
        <v>850</v>
      </c>
      <c r="G246" s="12">
        <f>_xlfn.XLOOKUP(I246,dim_lignes_achat!$L:$L,dim_lignes_achat!$H:$H,"Nicht gefunden",0)</f>
        <v>625</v>
      </c>
      <c r="H246" s="12">
        <f t="shared" si="13"/>
        <v>625</v>
      </c>
      <c r="I246" t="s">
        <v>171</v>
      </c>
      <c r="L246" t="str">
        <f>IF(ISNUMBER(MATCH(I246,dim_produits!$C:$C,0)),"OK","MANQUANT")</f>
        <v>OK</v>
      </c>
    </row>
    <row r="247" spans="1:12">
      <c r="A247">
        <f t="shared" si="12"/>
        <v>246</v>
      </c>
      <c r="B247">
        <v>20</v>
      </c>
      <c r="C247">
        <f>IFERROR(_xlfn.XLOOKUP(I247,dim_produits!$C:$C,dim_produits!$A:$A,""),"")</f>
        <v>5</v>
      </c>
      <c r="D247">
        <v>2</v>
      </c>
      <c r="E247" s="12">
        <v>500</v>
      </c>
      <c r="F247" s="12">
        <f t="shared" si="14"/>
        <v>1000</v>
      </c>
      <c r="G247" s="12">
        <f>_xlfn.XLOOKUP(I247,dim_lignes_achat!$L:$L,dim_lignes_achat!$H:$H,"Nicht gefunden",0)</f>
        <v>199.99799999999999</v>
      </c>
      <c r="H247" s="12">
        <f t="shared" si="13"/>
        <v>399.99599999999998</v>
      </c>
      <c r="I247" t="s">
        <v>197</v>
      </c>
      <c r="L247" t="str">
        <f>IF(ISNUMBER(MATCH(I247,dim_produits!$C:$C,0)),"OK","MANQUANT")</f>
        <v>OK</v>
      </c>
    </row>
    <row r="248" spans="1:12">
      <c r="A248">
        <f t="shared" si="12"/>
        <v>247</v>
      </c>
      <c r="B248">
        <v>20</v>
      </c>
      <c r="C248">
        <f>IFERROR(_xlfn.XLOOKUP(I248,dim_produits!$C:$C,dim_produits!$A:$A,""),"")</f>
        <v>73</v>
      </c>
      <c r="D248">
        <v>1</v>
      </c>
      <c r="E248" s="12">
        <v>500</v>
      </c>
      <c r="F248" s="12">
        <f t="shared" si="14"/>
        <v>500</v>
      </c>
      <c r="G248" s="12">
        <f>_xlfn.XLOOKUP(I248,dim_lignes_achat!$L:$L,dim_lignes_achat!$H:$H,"Nicht gefunden",0)</f>
        <v>366.66</v>
      </c>
      <c r="H248" s="12">
        <f t="shared" si="13"/>
        <v>366.66</v>
      </c>
      <c r="I248" t="s">
        <v>196</v>
      </c>
      <c r="L248" t="str">
        <f>IF(ISNUMBER(MATCH(I248,dim_produits!$C:$C,0)),"OK","MANQUANT")</f>
        <v>OK</v>
      </c>
    </row>
    <row r="249" spans="1:12">
      <c r="A249">
        <f t="shared" si="12"/>
        <v>248</v>
      </c>
      <c r="B249">
        <v>20</v>
      </c>
      <c r="C249">
        <f>IFERROR(_xlfn.XLOOKUP(I249,dim_produits!$C:$C,dim_produits!$A:$A,""),"")</f>
        <v>2</v>
      </c>
      <c r="D249">
        <v>2</v>
      </c>
      <c r="E249" s="12">
        <v>50</v>
      </c>
      <c r="F249" s="12">
        <f t="shared" si="14"/>
        <v>100</v>
      </c>
      <c r="G249" s="12">
        <f>_xlfn.XLOOKUP(I249,dim_lignes_achat!$L:$L,dim_lignes_achat!$H:$H,"Nicht gefunden",0)</f>
        <v>18.75</v>
      </c>
      <c r="H249" s="12">
        <f t="shared" si="13"/>
        <v>37.5</v>
      </c>
      <c r="I249" t="s">
        <v>165</v>
      </c>
      <c r="L249" t="str">
        <f>IF(ISNUMBER(MATCH(I249,dim_produits!$C:$C,0)),"OK","MANQUANT")</f>
        <v>OK</v>
      </c>
    </row>
    <row r="250" spans="1:12">
      <c r="A250">
        <f t="shared" si="12"/>
        <v>249</v>
      </c>
      <c r="B250">
        <v>20</v>
      </c>
      <c r="C250">
        <f>IFERROR(_xlfn.XLOOKUP(I250,dim_produits!$C:$C,dim_produits!$A:$A,""),"")</f>
        <v>27</v>
      </c>
      <c r="D250">
        <v>2</v>
      </c>
      <c r="E250" s="12">
        <v>50</v>
      </c>
      <c r="F250" s="12">
        <f t="shared" si="14"/>
        <v>100</v>
      </c>
      <c r="G250" s="12">
        <f>_xlfn.XLOOKUP(I250,dim_lignes_achat!$L:$L,dim_lignes_achat!$H:$H,"Nicht gefunden",0)</f>
        <v>37.5</v>
      </c>
      <c r="H250" s="12">
        <f t="shared" si="13"/>
        <v>75</v>
      </c>
      <c r="I250" t="s">
        <v>177</v>
      </c>
      <c r="L250" t="str">
        <f>IF(ISNUMBER(MATCH(I250,dim_produits!$C:$C,0)),"OK","MANQUANT")</f>
        <v>OK</v>
      </c>
    </row>
    <row r="251" spans="1:12">
      <c r="A251">
        <f t="shared" si="12"/>
        <v>250</v>
      </c>
      <c r="B251">
        <v>20</v>
      </c>
      <c r="C251">
        <f>IFERROR(_xlfn.XLOOKUP(I251,dim_produits!$C:$C,dim_produits!$A:$A,""),"")</f>
        <v>81</v>
      </c>
      <c r="D251">
        <v>1</v>
      </c>
      <c r="E251" s="12">
        <v>250</v>
      </c>
      <c r="F251" s="12">
        <f t="shared" si="14"/>
        <v>250</v>
      </c>
      <c r="G251" s="12">
        <f>_xlfn.XLOOKUP(I251,dim_lignes_achat!$L:$L,dim_lignes_achat!$H:$H,"Nicht gefunden",0)</f>
        <v>241.66</v>
      </c>
      <c r="H251" s="12">
        <f t="shared" si="13"/>
        <v>241.66</v>
      </c>
      <c r="I251" t="s">
        <v>206</v>
      </c>
      <c r="L251" t="str">
        <f>IF(ISNUMBER(MATCH(I251,dim_produits!$C:$C,0)),"OK","MANQUANT")</f>
        <v>OK</v>
      </c>
    </row>
    <row r="252" spans="1:12">
      <c r="A252">
        <f t="shared" si="12"/>
        <v>251</v>
      </c>
      <c r="B252">
        <v>20</v>
      </c>
      <c r="C252">
        <f>IFERROR(_xlfn.XLOOKUP(I252,dim_produits!$C:$C,dim_produits!$A:$A,""),"")</f>
        <v>70</v>
      </c>
      <c r="D252">
        <v>1</v>
      </c>
      <c r="E252" s="12">
        <v>250</v>
      </c>
      <c r="F252" s="12">
        <f t="shared" si="14"/>
        <v>250</v>
      </c>
      <c r="G252" s="12">
        <f>_xlfn.XLOOKUP(I252,dim_lignes_achat!$L:$L,dim_lignes_achat!$H:$H,"Nicht gefunden",0)</f>
        <v>325</v>
      </c>
      <c r="H252" s="12">
        <f t="shared" si="13"/>
        <v>325</v>
      </c>
      <c r="I252" t="s">
        <v>180</v>
      </c>
      <c r="L252" t="str">
        <f>IF(ISNUMBER(MATCH(I252,dim_produits!$C:$C,0)),"OK","MANQUANT")</f>
        <v>OK</v>
      </c>
    </row>
    <row r="253" spans="1:12">
      <c r="A253">
        <f t="shared" si="12"/>
        <v>252</v>
      </c>
      <c r="B253">
        <v>20</v>
      </c>
      <c r="C253">
        <f>IFERROR(_xlfn.XLOOKUP(I253,dim_produits!$C:$C,dim_produits!$A:$A,""),"")</f>
        <v>10</v>
      </c>
      <c r="D253">
        <v>1</v>
      </c>
      <c r="E253" s="12">
        <v>750</v>
      </c>
      <c r="F253" s="12">
        <f t="shared" si="14"/>
        <v>750</v>
      </c>
      <c r="G253" s="12">
        <f>_xlfn.XLOOKUP(I253,dim_lignes_achat!$L:$L,dim_lignes_achat!$H:$H,"Nicht gefunden",0)</f>
        <v>595.83333333333337</v>
      </c>
      <c r="H253" s="12">
        <f t="shared" si="13"/>
        <v>595.83333333333337</v>
      </c>
      <c r="I253" t="s">
        <v>227</v>
      </c>
      <c r="L253" t="str">
        <f>IF(ISNUMBER(MATCH(I253,dim_produits!$C:$C,0)),"OK","MANQUANT")</f>
        <v>OK</v>
      </c>
    </row>
    <row r="254" spans="1:12">
      <c r="A254">
        <f t="shared" si="12"/>
        <v>253</v>
      </c>
      <c r="B254">
        <v>20</v>
      </c>
      <c r="C254">
        <f>IFERROR(_xlfn.XLOOKUP(I254,dim_produits!$C:$C,dim_produits!$A:$A,""),"")</f>
        <v>9</v>
      </c>
      <c r="D254">
        <v>1</v>
      </c>
      <c r="E254" s="12">
        <v>750</v>
      </c>
      <c r="F254" s="12">
        <f t="shared" si="14"/>
        <v>750</v>
      </c>
      <c r="G254" s="12">
        <f>_xlfn.XLOOKUP(I254,dim_lignes_achat!$L:$L,dim_lignes_achat!$H:$H,"Nicht gefunden",0)</f>
        <v>650</v>
      </c>
      <c r="H254" s="12">
        <f t="shared" si="13"/>
        <v>650</v>
      </c>
      <c r="I254" t="s">
        <v>222</v>
      </c>
      <c r="L254" t="str">
        <f>IF(ISNUMBER(MATCH(I254,dim_produits!$C:$C,0)),"OK","MANQUANT")</f>
        <v>OK</v>
      </c>
    </row>
    <row r="255" spans="1:12">
      <c r="A255">
        <f t="shared" si="12"/>
        <v>254</v>
      </c>
      <c r="B255">
        <v>20</v>
      </c>
      <c r="C255">
        <f>IFERROR(_xlfn.XLOOKUP(I255,dim_produits!$C:$C,dim_produits!$A:$A,""),"")</f>
        <v>31</v>
      </c>
      <c r="D255">
        <v>2</v>
      </c>
      <c r="E255" s="12">
        <v>1000</v>
      </c>
      <c r="F255" s="12">
        <f t="shared" si="14"/>
        <v>2000</v>
      </c>
      <c r="G255" s="12">
        <f>_xlfn.XLOOKUP(I255,dim_lignes_achat!$L:$L,dim_lignes_achat!$H:$H,"Nicht gefunden",0)</f>
        <v>900</v>
      </c>
      <c r="H255" s="12">
        <f t="shared" si="13"/>
        <v>1800</v>
      </c>
      <c r="I255" t="s">
        <v>200</v>
      </c>
      <c r="L255" t="str">
        <f>IF(ISNUMBER(MATCH(I255,dim_produits!$C:$C,0)),"OK","MANQUANT")</f>
        <v>OK</v>
      </c>
    </row>
    <row r="256" spans="1:12">
      <c r="A256">
        <f t="shared" si="12"/>
        <v>255</v>
      </c>
      <c r="B256">
        <v>20</v>
      </c>
      <c r="C256">
        <f>IFERROR(_xlfn.XLOOKUP(I256,dim_produits!$C:$C,dim_produits!$A:$A,""),"")</f>
        <v>4</v>
      </c>
      <c r="D256">
        <v>1</v>
      </c>
      <c r="E256" s="12">
        <v>25</v>
      </c>
      <c r="F256" s="12">
        <f>D256*E256</f>
        <v>25</v>
      </c>
      <c r="G256" s="12">
        <f>_xlfn.XLOOKUP(I256,dim_lignes_achat!$L:$L,dim_lignes_achat!$H:$H,"Nicht gefunden",0)</f>
        <v>39.166666666666664</v>
      </c>
      <c r="H256" s="12">
        <f t="shared" si="13"/>
        <v>39.166666666666664</v>
      </c>
      <c r="I256" t="s">
        <v>168</v>
      </c>
      <c r="L256" t="str">
        <f>IF(ISNUMBER(MATCH(I256,dim_produits!$C:$C,0)),"OK","MANQUANT")</f>
        <v>OK</v>
      </c>
    </row>
    <row r="257" spans="1:12">
      <c r="A257">
        <f t="shared" si="12"/>
        <v>256</v>
      </c>
      <c r="B257">
        <v>20</v>
      </c>
      <c r="C257">
        <f>IFERROR(_xlfn.XLOOKUP(I257,dim_produits!$C:$C,dim_produits!$A:$A,""),"")</f>
        <v>71</v>
      </c>
      <c r="D257">
        <v>1</v>
      </c>
      <c r="E257" s="12">
        <v>650</v>
      </c>
      <c r="F257" s="12">
        <f t="shared" si="14"/>
        <v>650</v>
      </c>
      <c r="G257" s="12">
        <f>_xlfn.XLOOKUP(I257,dim_lignes_achat!$L:$L,dim_lignes_achat!$H:$H,"Nicht gefunden",0)</f>
        <v>416.66666666666669</v>
      </c>
      <c r="H257" s="12">
        <f t="shared" si="13"/>
        <v>416.66666666666669</v>
      </c>
      <c r="I257" t="s">
        <v>194</v>
      </c>
      <c r="L257" t="str">
        <f>IF(ISNUMBER(MATCH(I257,dim_produits!$C:$C,0)),"OK","MANQUANT")</f>
        <v>OK</v>
      </c>
    </row>
    <row r="258" spans="1:12">
      <c r="A258">
        <f t="shared" si="12"/>
        <v>257</v>
      </c>
      <c r="B258">
        <v>20</v>
      </c>
      <c r="C258">
        <f>IFERROR(_xlfn.XLOOKUP(I258,dim_produits!$C:$C,dim_produits!$A:$A,""),"")</f>
        <v>85</v>
      </c>
      <c r="D258">
        <v>1</v>
      </c>
      <c r="E258" s="12">
        <v>500</v>
      </c>
      <c r="F258" s="12">
        <f t="shared" si="14"/>
        <v>500</v>
      </c>
      <c r="G258" s="12">
        <f>_xlfn.XLOOKUP(I258,dim_lignes_achat!$L:$L,dim_lignes_achat!$H:$H,"Nicht gefunden",0)</f>
        <v>391.66</v>
      </c>
      <c r="H258" s="12">
        <f t="shared" si="13"/>
        <v>391.66</v>
      </c>
      <c r="I258" t="s">
        <v>210</v>
      </c>
      <c r="L258" t="str">
        <f>IF(ISNUMBER(MATCH(I258,dim_produits!$C:$C,0)),"OK","MANQUANT")</f>
        <v>OK</v>
      </c>
    </row>
    <row r="259" spans="1:12">
      <c r="A259">
        <f t="shared" si="12"/>
        <v>258</v>
      </c>
      <c r="B259">
        <v>20</v>
      </c>
      <c r="C259">
        <f>IFERROR(_xlfn.XLOOKUP(I259,dim_produits!$C:$C,dim_produits!$A:$A,""),"")</f>
        <v>34</v>
      </c>
      <c r="D259">
        <v>1</v>
      </c>
      <c r="E259" s="12">
        <v>1200</v>
      </c>
      <c r="F259" s="12">
        <f t="shared" si="14"/>
        <v>1200</v>
      </c>
      <c r="G259" s="12">
        <f>_xlfn.XLOOKUP(I259,dim_lignes_achat!$L:$L,dim_lignes_achat!$H:$H,"Nicht gefunden",0)</f>
        <v>1000</v>
      </c>
      <c r="H259" s="12">
        <f t="shared" si="13"/>
        <v>1000</v>
      </c>
      <c r="I259" t="s">
        <v>213</v>
      </c>
      <c r="L259" t="str">
        <f>IF(ISNUMBER(MATCH(I259,dim_produits!$C:$C,0)),"OK","MANQUANT")</f>
        <v>OK</v>
      </c>
    </row>
    <row r="260" spans="1:12">
      <c r="A260">
        <f t="shared" ref="A260:A323" si="15">A259+1</f>
        <v>259</v>
      </c>
      <c r="B260">
        <v>21</v>
      </c>
      <c r="C260">
        <f>IFERROR(_xlfn.XLOOKUP(I260,dim_produits!$C:$C,dim_produits!$A:$A,""),"")</f>
        <v>45</v>
      </c>
      <c r="D260">
        <v>4</v>
      </c>
      <c r="E260" s="12">
        <v>50</v>
      </c>
      <c r="F260" s="12">
        <f t="shared" si="14"/>
        <v>200</v>
      </c>
      <c r="G260" s="12">
        <f>_xlfn.XLOOKUP(I260,dim_lignes_achat!$L:$L,dim_lignes_achat!$H:$H,"Nicht gefunden",0)</f>
        <v>24</v>
      </c>
      <c r="H260" s="12">
        <f t="shared" ref="H260:H288" si="16">IF(ISNUMBER(G260),G260*D260,"")</f>
        <v>96</v>
      </c>
      <c r="I260" t="s">
        <v>164</v>
      </c>
      <c r="L260" t="str">
        <f>IF(ISNUMBER(MATCH(I260,dim_produits!$C:$C,0)),"OK","MANQUANT")</f>
        <v>OK</v>
      </c>
    </row>
    <row r="261" spans="1:12">
      <c r="A261">
        <f t="shared" si="15"/>
        <v>260</v>
      </c>
      <c r="B261">
        <v>21</v>
      </c>
      <c r="C261">
        <f>IFERROR(_xlfn.XLOOKUP(I261,dim_produits!$C:$C,dim_produits!$A:$A,""),"")</f>
        <v>4</v>
      </c>
      <c r="D261">
        <v>5</v>
      </c>
      <c r="E261" s="12">
        <v>50</v>
      </c>
      <c r="F261" s="12">
        <f t="shared" si="14"/>
        <v>250</v>
      </c>
      <c r="G261" s="12">
        <f>_xlfn.XLOOKUP(I261,dim_lignes_achat!$L:$L,dim_lignes_achat!$H:$H,"Nicht gefunden",0)</f>
        <v>39.166666666666664</v>
      </c>
      <c r="H261" s="12">
        <f t="shared" si="16"/>
        <v>195.83333333333331</v>
      </c>
      <c r="I261" t="s">
        <v>168</v>
      </c>
      <c r="L261" t="str">
        <f>IF(ISNUMBER(MATCH(I261,dim_produits!$C:$C,0)),"OK","MANQUANT")</f>
        <v>OK</v>
      </c>
    </row>
    <row r="262" spans="1:12">
      <c r="A262">
        <f t="shared" si="15"/>
        <v>261</v>
      </c>
      <c r="B262">
        <v>21</v>
      </c>
      <c r="C262">
        <f>IFERROR(_xlfn.XLOOKUP(I262,dim_produits!$C:$C,dim_produits!$A:$A,""),"")</f>
        <v>31</v>
      </c>
      <c r="D262">
        <v>2</v>
      </c>
      <c r="E262" s="12">
        <v>1000</v>
      </c>
      <c r="F262" s="12">
        <f t="shared" si="14"/>
        <v>2000</v>
      </c>
      <c r="G262" s="12">
        <f>_xlfn.XLOOKUP(I262,dim_lignes_achat!$L:$L,dim_lignes_achat!$H:$H,"Nicht gefunden",0)</f>
        <v>900</v>
      </c>
      <c r="H262" s="12">
        <f t="shared" si="16"/>
        <v>1800</v>
      </c>
      <c r="I262" t="s">
        <v>200</v>
      </c>
      <c r="L262" t="str">
        <f>IF(ISNUMBER(MATCH(I262,dim_produits!$C:$C,0)),"OK","MANQUANT")</f>
        <v>OK</v>
      </c>
    </row>
    <row r="263" spans="1:12">
      <c r="A263">
        <f t="shared" si="15"/>
        <v>262</v>
      </c>
      <c r="B263">
        <v>21</v>
      </c>
      <c r="C263">
        <f>IFERROR(_xlfn.XLOOKUP(I263,dim_produits!$C:$C,dim_produits!$A:$A,""),"")</f>
        <v>2</v>
      </c>
      <c r="D263">
        <v>2</v>
      </c>
      <c r="E263" s="12">
        <v>50</v>
      </c>
      <c r="F263" s="12">
        <f t="shared" si="14"/>
        <v>100</v>
      </c>
      <c r="G263" s="12">
        <f>_xlfn.XLOOKUP(I263,dim_lignes_achat!$L:$L,dim_lignes_achat!$H:$H,"Nicht gefunden",0)</f>
        <v>18.75</v>
      </c>
      <c r="H263" s="12">
        <f t="shared" si="16"/>
        <v>37.5</v>
      </c>
      <c r="I263" t="s">
        <v>165</v>
      </c>
      <c r="L263" t="str">
        <f>IF(ISNUMBER(MATCH(I263,dim_produits!$C:$C,0)),"OK","MANQUANT")</f>
        <v>OK</v>
      </c>
    </row>
    <row r="264" spans="1:12">
      <c r="A264">
        <f t="shared" si="15"/>
        <v>263</v>
      </c>
      <c r="B264">
        <v>21</v>
      </c>
      <c r="C264">
        <f>IFERROR(_xlfn.XLOOKUP(I264,dim_produits!$C:$C,dim_produits!$A:$A,""),"")</f>
        <v>10</v>
      </c>
      <c r="D264">
        <v>2</v>
      </c>
      <c r="E264" s="12">
        <v>750</v>
      </c>
      <c r="F264" s="12">
        <f t="shared" si="14"/>
        <v>1500</v>
      </c>
      <c r="G264" s="12">
        <f>_xlfn.XLOOKUP(I264,dim_lignes_achat!$L:$L,dim_lignes_achat!$H:$H,"Nicht gefunden",0)</f>
        <v>595.83333333333337</v>
      </c>
      <c r="H264" s="12">
        <f t="shared" si="16"/>
        <v>1191.6666666666667</v>
      </c>
      <c r="I264" t="s">
        <v>227</v>
      </c>
      <c r="L264" t="str">
        <f>IF(ISNUMBER(MATCH(I264,dim_produits!$C:$C,0)),"OK","MANQUANT")</f>
        <v>OK</v>
      </c>
    </row>
    <row r="265" spans="1:12">
      <c r="A265">
        <f t="shared" si="15"/>
        <v>264</v>
      </c>
      <c r="B265">
        <v>21</v>
      </c>
      <c r="C265">
        <f>IFERROR(_xlfn.XLOOKUP(I265,dim_produits!$C:$C,dim_produits!$A:$A,""),"")</f>
        <v>17</v>
      </c>
      <c r="D265">
        <v>8</v>
      </c>
      <c r="E265" s="12">
        <v>600</v>
      </c>
      <c r="F265" s="12">
        <f t="shared" si="14"/>
        <v>4800</v>
      </c>
      <c r="G265" s="12">
        <f>_xlfn.XLOOKUP(I265,dim_lignes_achat!$L:$L,dim_lignes_achat!$H:$H,"Nicht gefunden",0)</f>
        <v>450</v>
      </c>
      <c r="H265" s="12">
        <f t="shared" si="16"/>
        <v>3600</v>
      </c>
      <c r="I265" t="s">
        <v>225</v>
      </c>
      <c r="L265" t="str">
        <f>IF(ISNUMBER(MATCH(I265,dim_produits!$C:$C,0)),"OK","MANQUANT")</f>
        <v>OK</v>
      </c>
    </row>
    <row r="266" spans="1:12">
      <c r="A266">
        <f t="shared" si="15"/>
        <v>265</v>
      </c>
      <c r="B266">
        <v>21</v>
      </c>
      <c r="C266">
        <f>IFERROR(_xlfn.XLOOKUP(I266,dim_produits!$C:$C,dim_produits!$A:$A,""),"")</f>
        <v>14</v>
      </c>
      <c r="D266">
        <v>5</v>
      </c>
      <c r="E266" s="12">
        <v>750</v>
      </c>
      <c r="F266" s="12">
        <f t="shared" si="14"/>
        <v>3750</v>
      </c>
      <c r="G266" s="12">
        <f>_xlfn.XLOOKUP(I266,dim_lignes_achat!$L:$L,dim_lignes_achat!$H:$H,"Nicht gefunden",0)</f>
        <v>554.16666666666663</v>
      </c>
      <c r="H266" s="12">
        <f t="shared" si="16"/>
        <v>2770.833333333333</v>
      </c>
      <c r="I266" t="s">
        <v>373</v>
      </c>
      <c r="L266" t="str">
        <f>IF(ISNUMBER(MATCH(I266,dim_produits!$C:$C,0)),"OK","MANQUANT")</f>
        <v>OK</v>
      </c>
    </row>
    <row r="267" spans="1:12">
      <c r="A267">
        <f t="shared" si="15"/>
        <v>266</v>
      </c>
      <c r="B267">
        <v>21</v>
      </c>
      <c r="C267">
        <f>IFERROR(_xlfn.XLOOKUP(I267,dim_produits!$C:$C,dim_produits!$A:$A,""),"")</f>
        <v>6</v>
      </c>
      <c r="D267">
        <v>2</v>
      </c>
      <c r="E267" s="12">
        <v>500</v>
      </c>
      <c r="F267" s="12">
        <f t="shared" si="14"/>
        <v>1000</v>
      </c>
      <c r="G267" s="12">
        <f>_xlfn.XLOOKUP(I267,dim_lignes_achat!$L:$L,dim_lignes_achat!$H:$H,"Nicht gefunden",0)</f>
        <v>379.99200000000002</v>
      </c>
      <c r="H267" s="12">
        <f t="shared" si="16"/>
        <v>759.98400000000004</v>
      </c>
      <c r="I267" t="s">
        <v>368</v>
      </c>
      <c r="L267" t="str">
        <f>IF(ISNUMBER(MATCH(I267,dim_produits!$C:$C,0)),"OK","MANQUANT")</f>
        <v>OK</v>
      </c>
    </row>
    <row r="268" spans="1:12">
      <c r="A268">
        <f t="shared" si="15"/>
        <v>267</v>
      </c>
      <c r="B268">
        <v>21</v>
      </c>
      <c r="C268">
        <f>IFERROR(_xlfn.XLOOKUP(I268,dim_produits!$C:$C,dim_produits!$A:$A,""),"")</f>
        <v>56</v>
      </c>
      <c r="D268">
        <v>2</v>
      </c>
      <c r="E268" s="12">
        <v>1200</v>
      </c>
      <c r="F268" s="12">
        <f t="shared" si="14"/>
        <v>2400</v>
      </c>
      <c r="G268" s="12">
        <f>_xlfn.XLOOKUP(I268,dim_lignes_achat!$L:$L,dim_lignes_achat!$H:$H,"Nicht gefunden",0)</f>
        <v>650</v>
      </c>
      <c r="H268" s="12">
        <f t="shared" si="16"/>
        <v>1300</v>
      </c>
      <c r="I268" t="s">
        <v>238</v>
      </c>
      <c r="L268" t="str">
        <f>IF(ISNUMBER(MATCH(I268,dim_produits!$C:$C,0)),"OK","MANQUANT")</f>
        <v>OK</v>
      </c>
    </row>
    <row r="269" spans="1:12">
      <c r="A269">
        <f t="shared" si="15"/>
        <v>268</v>
      </c>
      <c r="B269">
        <v>21</v>
      </c>
      <c r="C269">
        <f>IFERROR(_xlfn.XLOOKUP(I269,dim_produits!$C:$C,dim_produits!$A:$A,""),"")</f>
        <v>52</v>
      </c>
      <c r="D269">
        <v>2</v>
      </c>
      <c r="E269" s="12">
        <v>600</v>
      </c>
      <c r="F269" s="12">
        <f t="shared" si="14"/>
        <v>1200</v>
      </c>
      <c r="G269" s="12">
        <f>_xlfn.XLOOKUP(I269,dim_lignes_achat!$L:$L,dim_lignes_achat!$H:$H,"Nicht gefunden",0)</f>
        <v>470.83333333333331</v>
      </c>
      <c r="H269" s="12">
        <f t="shared" si="16"/>
        <v>941.66666666666663</v>
      </c>
      <c r="I269" t="s">
        <v>237</v>
      </c>
      <c r="L269" t="str">
        <f>IF(ISNUMBER(MATCH(I269,dim_produits!$C:$C,0)),"OK","MANQUANT")</f>
        <v>OK</v>
      </c>
    </row>
    <row r="270" spans="1:12">
      <c r="A270">
        <f t="shared" si="15"/>
        <v>269</v>
      </c>
      <c r="B270">
        <v>21</v>
      </c>
      <c r="C270">
        <f>IFERROR(_xlfn.XLOOKUP(I270,dim_produits!$C:$C,dim_produits!$A:$A,""),"")</f>
        <v>44</v>
      </c>
      <c r="D270">
        <v>1</v>
      </c>
      <c r="E270" s="12">
        <v>75</v>
      </c>
      <c r="F270" s="12">
        <f t="shared" si="14"/>
        <v>75</v>
      </c>
      <c r="G270" s="12">
        <f>_xlfn.XLOOKUP(I270,dim_lignes_achat!$L:$L,dim_lignes_achat!$H:$H,"Nicht gefunden",0)</f>
        <v>56.666666666666664</v>
      </c>
      <c r="H270" s="12">
        <f t="shared" si="16"/>
        <v>56.666666666666664</v>
      </c>
      <c r="I270" t="s">
        <v>162</v>
      </c>
      <c r="L270" t="str">
        <f>IF(ISNUMBER(MATCH(I270,dim_produits!$C:$C,0)),"OK","MANQUANT")</f>
        <v>OK</v>
      </c>
    </row>
    <row r="271" spans="1:12">
      <c r="A271">
        <f t="shared" si="15"/>
        <v>270</v>
      </c>
      <c r="B271">
        <v>21</v>
      </c>
      <c r="C271">
        <f>IFERROR(_xlfn.XLOOKUP(I271,dim_produits!$C:$C,dim_produits!$A:$A,""),"")</f>
        <v>28</v>
      </c>
      <c r="D271">
        <v>4</v>
      </c>
      <c r="E271" s="12">
        <v>25</v>
      </c>
      <c r="F271" s="12">
        <f t="shared" si="14"/>
        <v>100</v>
      </c>
      <c r="G271" s="12">
        <f>_xlfn.XLOOKUP(I271,dim_lignes_achat!$L:$L,dim_lignes_achat!$H:$H,"Nicht gefunden",0)</f>
        <v>13.26530612244898</v>
      </c>
      <c r="H271" s="12">
        <f t="shared" si="16"/>
        <v>53.061224489795919</v>
      </c>
      <c r="I271" t="s">
        <v>267</v>
      </c>
      <c r="L271" t="str">
        <f>IF(ISNUMBER(MATCH(I271,dim_produits!$C:$C,0)),"OK","MANQUANT")</f>
        <v>OK</v>
      </c>
    </row>
    <row r="272" spans="1:12">
      <c r="A272">
        <f t="shared" si="15"/>
        <v>271</v>
      </c>
      <c r="B272">
        <v>21</v>
      </c>
      <c r="C272">
        <f>IFERROR(_xlfn.XLOOKUP(I272,dim_produits!$C:$C,dim_produits!$A:$A,""),"")</f>
        <v>77</v>
      </c>
      <c r="D272">
        <v>2</v>
      </c>
      <c r="E272" s="12">
        <v>700</v>
      </c>
      <c r="F272" s="12">
        <f t="shared" si="14"/>
        <v>1400</v>
      </c>
      <c r="G272" s="12">
        <f>_xlfn.XLOOKUP(I272,dim_lignes_achat!$L:$L,dim_lignes_achat!$H:$H,"Nicht gefunden",0)</f>
        <v>550</v>
      </c>
      <c r="H272" s="12">
        <f t="shared" si="16"/>
        <v>1100</v>
      </c>
      <c r="I272" t="s">
        <v>202</v>
      </c>
      <c r="L272" t="str">
        <f>IF(ISNUMBER(MATCH(I272,dim_produits!$C:$C,0)),"OK","MANQUANT")</f>
        <v>OK</v>
      </c>
    </row>
    <row r="273" spans="1:12">
      <c r="A273">
        <f t="shared" si="15"/>
        <v>272</v>
      </c>
      <c r="B273">
        <v>21</v>
      </c>
      <c r="C273">
        <f>IFERROR(_xlfn.XLOOKUP(I273,dim_produits!$C:$C,dim_produits!$A:$A,""),"")</f>
        <v>84</v>
      </c>
      <c r="D273">
        <v>1</v>
      </c>
      <c r="E273" s="12">
        <v>500</v>
      </c>
      <c r="F273" s="12">
        <f t="shared" si="14"/>
        <v>500</v>
      </c>
      <c r="G273" s="12">
        <f>_xlfn.XLOOKUP(I273,dim_lignes_achat!$L:$L,dim_lignes_achat!$H:$H,"Nicht gefunden",0)</f>
        <v>583.33333333333337</v>
      </c>
      <c r="H273" s="12">
        <f t="shared" si="16"/>
        <v>583.33333333333337</v>
      </c>
      <c r="I273" t="s">
        <v>209</v>
      </c>
      <c r="L273" t="str">
        <f>IF(ISNUMBER(MATCH(I273,dim_produits!$C:$C,0)),"OK","MANQUANT")</f>
        <v>OK</v>
      </c>
    </row>
    <row r="274" spans="1:12">
      <c r="A274">
        <f t="shared" si="15"/>
        <v>273</v>
      </c>
      <c r="B274">
        <v>21</v>
      </c>
      <c r="C274">
        <f>IFERROR(_xlfn.XLOOKUP(I274,dim_produits!$C:$C,dim_produits!$A:$A,""),"")</f>
        <v>29</v>
      </c>
      <c r="D274">
        <v>1</v>
      </c>
      <c r="E274" s="12">
        <v>500</v>
      </c>
      <c r="F274" s="12">
        <f t="shared" si="14"/>
        <v>500</v>
      </c>
      <c r="G274" s="12">
        <f>_xlfn.XLOOKUP(I274,dim_lignes_achat!$L:$L,dim_lignes_achat!$H:$H,"Nicht gefunden",0)</f>
        <v>370</v>
      </c>
      <c r="H274" s="12">
        <f t="shared" si="16"/>
        <v>370</v>
      </c>
      <c r="I274" t="s">
        <v>184</v>
      </c>
      <c r="L274" t="str">
        <f>IF(ISNUMBER(MATCH(I274,dim_produits!$C:$C,0)),"OK","MANQUANT")</f>
        <v>OK</v>
      </c>
    </row>
    <row r="275" spans="1:12">
      <c r="A275">
        <f t="shared" si="15"/>
        <v>274</v>
      </c>
      <c r="B275">
        <v>21</v>
      </c>
      <c r="C275">
        <f>IFERROR(_xlfn.XLOOKUP(I275,dim_produits!$C:$C,dim_produits!$A:$A,""),"")</f>
        <v>55</v>
      </c>
      <c r="D275">
        <v>2</v>
      </c>
      <c r="E275" s="12">
        <v>900</v>
      </c>
      <c r="F275" s="12">
        <f t="shared" si="14"/>
        <v>1800</v>
      </c>
      <c r="G275" s="12">
        <f>_xlfn.XLOOKUP(I275,dim_lignes_achat!$L:$L,dim_lignes_achat!$H:$H,"Nicht gefunden",0)</f>
        <v>648.79999999999995</v>
      </c>
      <c r="H275" s="12">
        <f t="shared" si="16"/>
        <v>1297.5999999999999</v>
      </c>
      <c r="I275" t="s">
        <v>369</v>
      </c>
      <c r="L275" t="str">
        <f>IF(ISNUMBER(MATCH(I275,dim_produits!$C:$C,0)),"OK","MANQUANT")</f>
        <v>OK</v>
      </c>
    </row>
    <row r="276" spans="1:12">
      <c r="A276">
        <f t="shared" si="15"/>
        <v>275</v>
      </c>
      <c r="B276">
        <v>21</v>
      </c>
      <c r="C276">
        <f>IFERROR(_xlfn.XLOOKUP(I276,dim_produits!$C:$C,dim_produits!$A:$A,""),"")</f>
        <v>97</v>
      </c>
      <c r="D276">
        <v>5</v>
      </c>
      <c r="E276" s="12">
        <v>25</v>
      </c>
      <c r="F276" s="12">
        <f t="shared" si="14"/>
        <v>125</v>
      </c>
      <c r="G276" s="12">
        <f>_xlfn.XLOOKUP(I276,dim_lignes_achat!$L:$L,dim_lignes_achat!$H:$H,"Nicht gefunden",0)</f>
        <v>19</v>
      </c>
      <c r="H276" s="12">
        <f t="shared" si="16"/>
        <v>95</v>
      </c>
      <c r="I276" t="s">
        <v>350</v>
      </c>
      <c r="L276" t="str">
        <f>IF(ISNUMBER(MATCH(I276,dim_produits!$C:$C,0)),"OK","MANQUANT")</f>
        <v>OK</v>
      </c>
    </row>
    <row r="277" spans="1:12">
      <c r="A277">
        <f t="shared" si="15"/>
        <v>276</v>
      </c>
      <c r="B277">
        <v>21</v>
      </c>
      <c r="C277">
        <f>IFERROR(_xlfn.XLOOKUP(I277,dim_produits!$C:$C,dim_produits!$A:$A,""),"")</f>
        <v>58</v>
      </c>
      <c r="D277">
        <v>1</v>
      </c>
      <c r="E277" s="12">
        <v>400</v>
      </c>
      <c r="F277" s="12">
        <f t="shared" si="14"/>
        <v>400</v>
      </c>
      <c r="G277" s="12">
        <f>_xlfn.XLOOKUP(I277,dim_lignes_achat!$L:$L,dim_lignes_achat!$H:$H,"Nicht gefunden",0)</f>
        <v>333.33333333333331</v>
      </c>
      <c r="H277" s="12">
        <f t="shared" si="16"/>
        <v>333.33333333333331</v>
      </c>
      <c r="I277" t="s">
        <v>219</v>
      </c>
      <c r="L277" t="str">
        <f>IF(ISNUMBER(MATCH(I277,dim_produits!$C:$C,0)),"OK","MANQUANT")</f>
        <v>OK</v>
      </c>
    </row>
    <row r="278" spans="1:12">
      <c r="A278">
        <f t="shared" si="15"/>
        <v>277</v>
      </c>
      <c r="B278">
        <v>21</v>
      </c>
      <c r="C278">
        <f>IFERROR(_xlfn.XLOOKUP(I278,dim_produits!$C:$C,dim_produits!$A:$A,""),"")</f>
        <v>102</v>
      </c>
      <c r="D278">
        <v>1</v>
      </c>
      <c r="E278" s="12">
        <v>1200</v>
      </c>
      <c r="F278" s="12">
        <f t="shared" si="14"/>
        <v>1200</v>
      </c>
      <c r="G278" s="12">
        <f>_xlfn.XLOOKUP(I278,dim_lignes_achat!$L:$L,dim_lignes_achat!$H:$H,"Nicht gefunden",0)</f>
        <v>1000</v>
      </c>
      <c r="H278" s="12">
        <f t="shared" si="16"/>
        <v>1000</v>
      </c>
      <c r="I278" t="s">
        <v>172</v>
      </c>
      <c r="L278" t="str">
        <f>IF(ISNUMBER(MATCH(I278,dim_produits!$C:$C,0)),"OK","MANQUANT")</f>
        <v>OK</v>
      </c>
    </row>
    <row r="279" spans="1:12">
      <c r="A279">
        <f t="shared" si="15"/>
        <v>278</v>
      </c>
      <c r="B279">
        <v>21</v>
      </c>
      <c r="C279">
        <f>IFERROR(_xlfn.XLOOKUP(I279,dim_produits!$C:$C,dim_produits!$A:$A,""),"")</f>
        <v>33</v>
      </c>
      <c r="D279">
        <v>1</v>
      </c>
      <c r="E279" s="12">
        <v>400</v>
      </c>
      <c r="F279" s="12">
        <f t="shared" si="14"/>
        <v>400</v>
      </c>
      <c r="G279" s="12">
        <f>_xlfn.XLOOKUP(I279,dim_lignes_achat!$L:$L,dim_lignes_achat!$H:$H,"Nicht gefunden",0)</f>
        <v>225</v>
      </c>
      <c r="H279" s="12">
        <f t="shared" si="16"/>
        <v>225</v>
      </c>
      <c r="I279" t="s">
        <v>212</v>
      </c>
      <c r="L279" t="str">
        <f>IF(ISNUMBER(MATCH(I279,dim_produits!$C:$C,0)),"OK","MANQUANT")</f>
        <v>OK</v>
      </c>
    </row>
    <row r="280" spans="1:12">
      <c r="A280">
        <f t="shared" si="15"/>
        <v>279</v>
      </c>
      <c r="B280">
        <v>21</v>
      </c>
      <c r="C280">
        <f>IFERROR(_xlfn.XLOOKUP(I280,dim_produits!$C:$C,dim_produits!$A:$A,""),"")</f>
        <v>11</v>
      </c>
      <c r="D280">
        <v>3</v>
      </c>
      <c r="E280" s="12">
        <v>750</v>
      </c>
      <c r="F280" s="12">
        <f t="shared" si="14"/>
        <v>2250</v>
      </c>
      <c r="G280" s="12">
        <f>_xlfn.XLOOKUP(I280,dim_lignes_achat!$L:$L,dim_lignes_achat!$H:$H,"Nicht gefunden",0)</f>
        <v>650</v>
      </c>
      <c r="H280" s="12">
        <f t="shared" si="16"/>
        <v>1950</v>
      </c>
      <c r="I280" t="s">
        <v>223</v>
      </c>
      <c r="L280" t="str">
        <f>IF(ISNUMBER(MATCH(I280,dim_produits!$C:$C,0)),"OK","MANQUANT")</f>
        <v>OK</v>
      </c>
    </row>
    <row r="281" spans="1:12">
      <c r="A281">
        <f t="shared" si="15"/>
        <v>280</v>
      </c>
      <c r="B281">
        <v>21</v>
      </c>
      <c r="C281">
        <f>IFERROR(_xlfn.XLOOKUP(I281,dim_produits!$C:$C,dim_produits!$A:$A,""),"")</f>
        <v>18</v>
      </c>
      <c r="D281">
        <v>1</v>
      </c>
      <c r="E281" s="12">
        <v>750</v>
      </c>
      <c r="F281" s="12">
        <f t="shared" si="14"/>
        <v>750</v>
      </c>
      <c r="G281" s="12">
        <f>_xlfn.XLOOKUP(I281,dim_lignes_achat!$L:$L,dim_lignes_achat!$H:$H,"Nicht gefunden",0)</f>
        <v>650</v>
      </c>
      <c r="H281" s="12">
        <f t="shared" si="16"/>
        <v>650</v>
      </c>
      <c r="I281" t="s">
        <v>228</v>
      </c>
      <c r="L281" t="str">
        <f>IF(ISNUMBER(MATCH(I281,dim_produits!$C:$C,0)),"OK","MANQUANT")</f>
        <v>OK</v>
      </c>
    </row>
    <row r="282" spans="1:12">
      <c r="A282">
        <f t="shared" si="15"/>
        <v>281</v>
      </c>
      <c r="B282">
        <v>21</v>
      </c>
      <c r="C282">
        <f>IFERROR(_xlfn.XLOOKUP(I282,dim_produits!$C:$C,dim_produits!$A:$A,""),"")</f>
        <v>7</v>
      </c>
      <c r="D282">
        <v>5</v>
      </c>
      <c r="E282" s="12">
        <v>750</v>
      </c>
      <c r="F282" s="12">
        <f t="shared" si="14"/>
        <v>3750</v>
      </c>
      <c r="G282" s="12">
        <f>_xlfn.XLOOKUP(I282,dim_lignes_achat!$L:$L,dim_lignes_achat!$H:$H,"Nicht gefunden",0)</f>
        <v>600</v>
      </c>
      <c r="H282" s="12">
        <f t="shared" si="16"/>
        <v>3000</v>
      </c>
      <c r="I282" t="s">
        <v>220</v>
      </c>
      <c r="L282" t="str">
        <f>IF(ISNUMBER(MATCH(I282,dim_produits!$C:$C,0)),"OK","MANQUANT")</f>
        <v>OK</v>
      </c>
    </row>
    <row r="283" spans="1:12">
      <c r="A283">
        <f t="shared" si="15"/>
        <v>282</v>
      </c>
      <c r="B283">
        <v>21</v>
      </c>
      <c r="C283">
        <f>IFERROR(_xlfn.XLOOKUP(I283,dim_produits!$C:$C,dim_produits!$A:$A,""),"")</f>
        <v>15</v>
      </c>
      <c r="D283">
        <v>1</v>
      </c>
      <c r="E283" s="12">
        <v>1000</v>
      </c>
      <c r="F283" s="12">
        <f t="shared" si="14"/>
        <v>1000</v>
      </c>
      <c r="G283" s="12">
        <f>_xlfn.XLOOKUP(I283,dim_lignes_achat!$L:$L,dim_lignes_achat!$H:$H,"Nicht gefunden",0)</f>
        <v>741.66666666666663</v>
      </c>
      <c r="H283" s="12">
        <f t="shared" si="16"/>
        <v>741.66666666666663</v>
      </c>
      <c r="I283" t="s">
        <v>230</v>
      </c>
      <c r="L283" t="str">
        <f>IF(ISNUMBER(MATCH(I283,dim_produits!$C:$C,0)),"OK","MANQUANT")</f>
        <v>OK</v>
      </c>
    </row>
    <row r="284" spans="1:12">
      <c r="A284">
        <f t="shared" si="15"/>
        <v>283</v>
      </c>
      <c r="B284">
        <v>21</v>
      </c>
      <c r="C284">
        <f>IFERROR(_xlfn.XLOOKUP(I284,dim_produits!$C:$C,dim_produits!$A:$A,""),"")</f>
        <v>72</v>
      </c>
      <c r="D284">
        <v>1</v>
      </c>
      <c r="E284" s="12">
        <v>500</v>
      </c>
      <c r="F284" s="12">
        <f t="shared" si="14"/>
        <v>500</v>
      </c>
      <c r="G284" s="12">
        <f>_xlfn.XLOOKUP(I284,dim_lignes_achat!$L:$L,dim_lignes_achat!$H:$H,"Nicht gefunden",0)</f>
        <v>416.66666666666669</v>
      </c>
      <c r="H284" s="12">
        <f t="shared" si="16"/>
        <v>416.66666666666669</v>
      </c>
      <c r="I284" t="s">
        <v>195</v>
      </c>
      <c r="L284" t="str">
        <f>IF(ISNUMBER(MATCH(I284,dim_produits!$C:$C,0)),"OK","MANQUANT")</f>
        <v>OK</v>
      </c>
    </row>
    <row r="285" spans="1:12">
      <c r="A285">
        <f t="shared" si="15"/>
        <v>284</v>
      </c>
      <c r="B285">
        <v>21</v>
      </c>
      <c r="C285">
        <f>IFERROR(_xlfn.XLOOKUP(I285,dim_produits!$C:$C,dim_produits!$A:$A,""),"")</f>
        <v>99</v>
      </c>
      <c r="D285">
        <v>2</v>
      </c>
      <c r="E285" s="12">
        <v>25</v>
      </c>
      <c r="F285" s="12">
        <f t="shared" si="14"/>
        <v>50</v>
      </c>
      <c r="G285" s="12">
        <f>_xlfn.XLOOKUP(I285,dim_lignes_achat!$L:$L,dim_lignes_achat!$H:$H,"Nicht gefunden",0)</f>
        <v>20</v>
      </c>
      <c r="H285" s="12">
        <f t="shared" si="16"/>
        <v>40</v>
      </c>
      <c r="I285" t="s">
        <v>163</v>
      </c>
      <c r="L285" t="str">
        <f>IF(ISNUMBER(MATCH(I285,dim_produits!$C:$C,0)),"OK","MANQUANT")</f>
        <v>OK</v>
      </c>
    </row>
    <row r="286" spans="1:12">
      <c r="A286">
        <f t="shared" si="15"/>
        <v>285</v>
      </c>
      <c r="B286">
        <v>21</v>
      </c>
      <c r="C286">
        <f>IFERROR(_xlfn.XLOOKUP(I286,dim_produits!$C:$C,dim_produits!$A:$A,""),"")</f>
        <v>25</v>
      </c>
      <c r="D286">
        <v>1</v>
      </c>
      <c r="E286" s="12">
        <v>100</v>
      </c>
      <c r="F286" s="12">
        <f t="shared" si="14"/>
        <v>100</v>
      </c>
      <c r="G286" s="12">
        <f>_xlfn.XLOOKUP(I286,dim_lignes_achat!$L:$L,dim_lignes_achat!$H:$H,"Nicht gefunden",0)</f>
        <v>50</v>
      </c>
      <c r="H286" s="12">
        <f t="shared" si="16"/>
        <v>50</v>
      </c>
      <c r="I286" t="s">
        <v>160</v>
      </c>
      <c r="L286" t="str">
        <f>IF(ISNUMBER(MATCH(I286,dim_produits!$C:$C,0)),"OK","MANQUANT")</f>
        <v>OK</v>
      </c>
    </row>
    <row r="287" spans="1:12">
      <c r="A287">
        <f t="shared" si="15"/>
        <v>286</v>
      </c>
      <c r="B287">
        <v>21</v>
      </c>
      <c r="C287">
        <f>IFERROR(_xlfn.XLOOKUP(I287,dim_produits!$C:$C,dim_produits!$A:$A,""),"")</f>
        <v>63</v>
      </c>
      <c r="D287">
        <v>1</v>
      </c>
      <c r="E287" s="12">
        <v>100</v>
      </c>
      <c r="F287" s="12">
        <f t="shared" si="14"/>
        <v>100</v>
      </c>
      <c r="G287" s="12">
        <f>_xlfn.XLOOKUP(I287,dim_lignes_achat!$L:$L,dim_lignes_achat!$H:$H,"Nicht gefunden",0)</f>
        <v>70.833333333333329</v>
      </c>
      <c r="H287" s="12">
        <f t="shared" si="16"/>
        <v>70.833333333333329</v>
      </c>
      <c r="I287" t="s">
        <v>161</v>
      </c>
      <c r="L287" t="str">
        <f>IF(ISNUMBER(MATCH(I287,dim_produits!$C:$C,0)),"OK","MANQUANT")</f>
        <v>OK</v>
      </c>
    </row>
    <row r="288" spans="1:12">
      <c r="A288">
        <f t="shared" si="15"/>
        <v>287</v>
      </c>
      <c r="B288">
        <v>21</v>
      </c>
      <c r="C288">
        <f>IFERROR(_xlfn.XLOOKUP(I288,dim_produits!$C:$C,dim_produits!$A:$A,""),"")</f>
        <v>27</v>
      </c>
      <c r="D288">
        <v>2</v>
      </c>
      <c r="E288" s="12">
        <v>50</v>
      </c>
      <c r="F288" s="12">
        <f t="shared" si="14"/>
        <v>100</v>
      </c>
      <c r="G288" s="12">
        <f>_xlfn.XLOOKUP(I288,dim_lignes_achat!$L:$L,dim_lignes_achat!$H:$H,"Nicht gefunden",0)</f>
        <v>37.5</v>
      </c>
      <c r="H288" s="12">
        <f t="shared" si="16"/>
        <v>75</v>
      </c>
      <c r="I288" t="s">
        <v>177</v>
      </c>
      <c r="L288" t="str">
        <f>IF(ISNUMBER(MATCH(I288,dim_produits!$C:$C,0)),"OK","MANQUANT")</f>
        <v>OK</v>
      </c>
    </row>
    <row r="289" spans="1:12">
      <c r="A289">
        <f t="shared" si="15"/>
        <v>288</v>
      </c>
      <c r="B289">
        <v>21</v>
      </c>
      <c r="C289">
        <f>IFERROR(_xlfn.XLOOKUP(I289,dim_produits!$C:$C,dim_produits!$A:$A,""),"")</f>
        <v>9</v>
      </c>
      <c r="D289">
        <v>4</v>
      </c>
      <c r="E289" s="12">
        <v>750</v>
      </c>
      <c r="F289" s="12">
        <f t="shared" si="14"/>
        <v>3000</v>
      </c>
      <c r="G289" s="12">
        <f>_xlfn.XLOOKUP(I289,dim_lignes_achat!$L:$L,dim_lignes_achat!$H:$H,"Nicht gefunden",0)</f>
        <v>650</v>
      </c>
      <c r="H289" s="12">
        <f t="shared" ref="H289" si="17">IF(ISNUMBER(G289),G289*D289,"")</f>
        <v>2600</v>
      </c>
      <c r="I289" t="s">
        <v>222</v>
      </c>
      <c r="L289" t="str">
        <f>IF(ISNUMBER(MATCH(I289,dim_produits!$C:$C,0)),"OK","MANQUANT")</f>
        <v>OK</v>
      </c>
    </row>
    <row r="290" spans="1:12">
      <c r="A290">
        <f t="shared" si="15"/>
        <v>289</v>
      </c>
      <c r="B290">
        <v>22</v>
      </c>
      <c r="C290">
        <f>IFERROR(_xlfn.XLOOKUP(I290,dim_produits!$C:$C,dim_produits!$A:$A,""),"")</f>
        <v>11</v>
      </c>
      <c r="D290">
        <v>17</v>
      </c>
      <c r="E290" s="12">
        <v>750</v>
      </c>
      <c r="F290" s="12">
        <f t="shared" si="14"/>
        <v>12750</v>
      </c>
      <c r="G290" s="12">
        <f>_xlfn.XLOOKUP(I290,dim_lignes_achat!$L:$L,dim_lignes_achat!$H:$H,"Nicht gefunden",0)</f>
        <v>650</v>
      </c>
      <c r="H290" s="12">
        <f t="shared" ref="H290:H319" si="18">IF(ISNUMBER(G290),G290*D290,"")</f>
        <v>11050</v>
      </c>
      <c r="I290" t="s">
        <v>223</v>
      </c>
      <c r="L290" t="str">
        <f>IF(ISNUMBER(MATCH(I290,dim_produits!$C:$C,0)),"OK","MANQUANT")</f>
        <v>OK</v>
      </c>
    </row>
    <row r="291" spans="1:12">
      <c r="A291">
        <f t="shared" si="15"/>
        <v>290</v>
      </c>
      <c r="B291">
        <v>22</v>
      </c>
      <c r="C291">
        <f>IFERROR(_xlfn.XLOOKUP(I291,dim_produits!$C:$C,dim_produits!$A:$A,""),"")</f>
        <v>16</v>
      </c>
      <c r="D291">
        <v>5</v>
      </c>
      <c r="E291" s="12">
        <v>750</v>
      </c>
      <c r="F291" s="12">
        <f t="shared" si="14"/>
        <v>3750</v>
      </c>
      <c r="G291" s="12">
        <f>_xlfn.XLOOKUP(I291,dim_lignes_achat!$L:$L,dim_lignes_achat!$H:$H,"Nicht gefunden",0)</f>
        <v>650</v>
      </c>
      <c r="H291" s="12">
        <f t="shared" si="18"/>
        <v>3250</v>
      </c>
      <c r="I291" t="s">
        <v>419</v>
      </c>
      <c r="L291" t="str">
        <f>IF(ISNUMBER(MATCH(I291,dim_produits!$C:$C,0)),"OK","MANQUANT")</f>
        <v>OK</v>
      </c>
    </row>
    <row r="292" spans="1:12">
      <c r="A292">
        <f t="shared" si="15"/>
        <v>291</v>
      </c>
      <c r="B292">
        <v>22</v>
      </c>
      <c r="C292">
        <f>IFERROR(_xlfn.XLOOKUP(I292,dim_produits!$C:$C,dim_produits!$A:$A,""),"")</f>
        <v>9</v>
      </c>
      <c r="D292">
        <v>47</v>
      </c>
      <c r="E292" s="12">
        <v>750</v>
      </c>
      <c r="F292" s="12">
        <f t="shared" si="14"/>
        <v>35250</v>
      </c>
      <c r="G292" s="12">
        <f>_xlfn.XLOOKUP(I292,dim_lignes_achat!$L:$L,dim_lignes_achat!$H:$H,"Nicht gefunden",0)</f>
        <v>650</v>
      </c>
      <c r="H292" s="12">
        <f t="shared" si="18"/>
        <v>30550</v>
      </c>
      <c r="I292" t="s">
        <v>222</v>
      </c>
      <c r="L292" t="str">
        <f>IF(ISNUMBER(MATCH(I292,dim_produits!$C:$C,0)),"OK","MANQUANT")</f>
        <v>OK</v>
      </c>
    </row>
    <row r="293" spans="1:12">
      <c r="A293">
        <f t="shared" si="15"/>
        <v>292</v>
      </c>
      <c r="B293">
        <v>22</v>
      </c>
      <c r="C293">
        <f>IFERROR(_xlfn.XLOOKUP(I293,dim_produits!$C:$C,dim_produits!$A:$A,""),"")</f>
        <v>55</v>
      </c>
      <c r="D293">
        <v>2</v>
      </c>
      <c r="E293" s="12">
        <v>900</v>
      </c>
      <c r="F293" s="12">
        <f t="shared" si="14"/>
        <v>1800</v>
      </c>
      <c r="G293" s="12">
        <f>_xlfn.XLOOKUP(I293,dim_lignes_achat!$L:$L,dim_lignes_achat!$H:$H,"Nicht gefunden",0)</f>
        <v>648.79999999999995</v>
      </c>
      <c r="H293" s="12">
        <f t="shared" si="18"/>
        <v>1297.5999999999999</v>
      </c>
      <c r="I293" t="s">
        <v>369</v>
      </c>
      <c r="L293" t="str">
        <f>IF(ISNUMBER(MATCH(I293,dim_produits!$C:$C,0)),"OK","MANQUANT")</f>
        <v>OK</v>
      </c>
    </row>
    <row r="294" spans="1:12">
      <c r="A294">
        <f t="shared" si="15"/>
        <v>293</v>
      </c>
      <c r="B294">
        <v>22</v>
      </c>
      <c r="C294">
        <f>IFERROR(_xlfn.XLOOKUP(I294,dim_produits!$C:$C,dim_produits!$A:$A,""),"")</f>
        <v>54</v>
      </c>
      <c r="D294">
        <v>6</v>
      </c>
      <c r="E294" s="12">
        <v>800</v>
      </c>
      <c r="F294" s="12">
        <f t="shared" si="14"/>
        <v>4800</v>
      </c>
      <c r="G294" s="12">
        <f>_xlfn.XLOOKUP(I294,dim_lignes_achat!$L:$L,dim_lignes_achat!$H:$H,"Nicht gefunden",0)</f>
        <v>595.83333333333337</v>
      </c>
      <c r="H294" s="12">
        <f t="shared" si="18"/>
        <v>3575</v>
      </c>
      <c r="I294" t="s">
        <v>235</v>
      </c>
      <c r="L294" t="str">
        <f>IF(ISNUMBER(MATCH(I294,dim_produits!$C:$C,0)),"OK","MANQUANT")</f>
        <v>OK</v>
      </c>
    </row>
    <row r="295" spans="1:12">
      <c r="A295">
        <f t="shared" si="15"/>
        <v>294</v>
      </c>
      <c r="B295">
        <v>22</v>
      </c>
      <c r="C295">
        <f>IFERROR(_xlfn.XLOOKUP(I295,dim_produits!$C:$C,dim_produits!$A:$A,""),"")</f>
        <v>52</v>
      </c>
      <c r="D295">
        <v>4</v>
      </c>
      <c r="E295" s="12">
        <v>600</v>
      </c>
      <c r="F295" s="12">
        <f t="shared" si="14"/>
        <v>2400</v>
      </c>
      <c r="G295" s="12">
        <f>_xlfn.XLOOKUP(I295,dim_lignes_achat!$L:$L,dim_lignes_achat!$H:$H,"Nicht gefunden",0)</f>
        <v>470.83333333333331</v>
      </c>
      <c r="H295" s="12">
        <f t="shared" si="18"/>
        <v>1883.3333333333333</v>
      </c>
      <c r="I295" t="s">
        <v>237</v>
      </c>
      <c r="L295" t="str">
        <f>IF(ISNUMBER(MATCH(I295,dim_produits!$C:$C,0)),"OK","MANQUANT")</f>
        <v>OK</v>
      </c>
    </row>
    <row r="296" spans="1:12">
      <c r="A296">
        <f t="shared" si="15"/>
        <v>295</v>
      </c>
      <c r="B296">
        <v>22</v>
      </c>
      <c r="C296">
        <f>IFERROR(_xlfn.XLOOKUP(I296,dim_produits!$C:$C,dim_produits!$A:$A,""),"")</f>
        <v>17</v>
      </c>
      <c r="D296">
        <v>28</v>
      </c>
      <c r="E296" s="12">
        <v>600</v>
      </c>
      <c r="F296" s="12">
        <f t="shared" si="14"/>
        <v>16800</v>
      </c>
      <c r="G296" s="12">
        <f>_xlfn.XLOOKUP(I296,dim_lignes_achat!$L:$L,dim_lignes_achat!$H:$H,"Nicht gefunden",0)</f>
        <v>450</v>
      </c>
      <c r="H296" s="12">
        <f t="shared" si="18"/>
        <v>12600</v>
      </c>
      <c r="I296" t="s">
        <v>225</v>
      </c>
      <c r="L296" t="str">
        <f>IF(ISNUMBER(MATCH(I296,dim_produits!$C:$C,0)),"OK","MANQUANT")</f>
        <v>OK</v>
      </c>
    </row>
    <row r="297" spans="1:12">
      <c r="A297">
        <f t="shared" si="15"/>
        <v>296</v>
      </c>
      <c r="B297">
        <v>22</v>
      </c>
      <c r="C297">
        <f>IFERROR(_xlfn.XLOOKUP(I297,dim_produits!$C:$C,dim_produits!$A:$A,""),"")</f>
        <v>83</v>
      </c>
      <c r="D297">
        <v>2</v>
      </c>
      <c r="E297" s="12">
        <v>500</v>
      </c>
      <c r="F297" s="12">
        <f t="shared" si="14"/>
        <v>1000</v>
      </c>
      <c r="G297" s="12">
        <f>_xlfn.XLOOKUP(I297,dim_lignes_achat!$L:$L,dim_lignes_achat!$H:$H,"Nicht gefunden",0)</f>
        <v>541.66</v>
      </c>
      <c r="H297" s="12">
        <f t="shared" si="18"/>
        <v>1083.32</v>
      </c>
      <c r="I297" t="s">
        <v>208</v>
      </c>
      <c r="L297" t="str">
        <f>IF(ISNUMBER(MATCH(I297,dim_produits!$C:$C,0)),"OK","MANQUANT")</f>
        <v>OK</v>
      </c>
    </row>
    <row r="298" spans="1:12">
      <c r="A298">
        <f t="shared" si="15"/>
        <v>297</v>
      </c>
      <c r="B298">
        <v>22</v>
      </c>
      <c r="C298">
        <f>IFERROR(_xlfn.XLOOKUP(I298,dim_produits!$C:$C,dim_produits!$A:$A,""),"")</f>
        <v>18</v>
      </c>
      <c r="D298">
        <v>11</v>
      </c>
      <c r="E298" s="12">
        <v>750</v>
      </c>
      <c r="F298" s="12">
        <f t="shared" si="14"/>
        <v>8250</v>
      </c>
      <c r="G298" s="12">
        <f>_xlfn.XLOOKUP(I298,dim_lignes_achat!$L:$L,dim_lignes_achat!$H:$H,"Nicht gefunden",0)</f>
        <v>650</v>
      </c>
      <c r="H298" s="12">
        <f t="shared" si="18"/>
        <v>7150</v>
      </c>
      <c r="I298" t="s">
        <v>228</v>
      </c>
      <c r="L298" t="str">
        <f>IF(ISNUMBER(MATCH(I298,dim_produits!$C:$C,0)),"OK","MANQUANT")</f>
        <v>OK</v>
      </c>
    </row>
    <row r="299" spans="1:12">
      <c r="A299">
        <f t="shared" si="15"/>
        <v>298</v>
      </c>
      <c r="B299">
        <v>22</v>
      </c>
      <c r="C299">
        <f>IFERROR(_xlfn.XLOOKUP(I299,dim_produits!$C:$C,dim_produits!$A:$A,""),"")</f>
        <v>12</v>
      </c>
      <c r="D299">
        <v>4</v>
      </c>
      <c r="E299" s="12">
        <v>750</v>
      </c>
      <c r="F299" s="12">
        <f t="shared" si="14"/>
        <v>3000</v>
      </c>
      <c r="G299" s="12">
        <f>_xlfn.XLOOKUP(I299,dim_lignes_achat!$L:$L,dim_lignes_achat!$H:$H,"Nicht gefunden",0)</f>
        <v>650</v>
      </c>
      <c r="H299" s="12">
        <f t="shared" si="18"/>
        <v>2600</v>
      </c>
      <c r="I299" t="s">
        <v>229</v>
      </c>
      <c r="L299" t="str">
        <f>IF(ISNUMBER(MATCH(I299,dim_produits!$C:$C,0)),"OK","MANQUANT")</f>
        <v>OK</v>
      </c>
    </row>
    <row r="300" spans="1:12">
      <c r="A300">
        <f t="shared" si="15"/>
        <v>299</v>
      </c>
      <c r="B300">
        <v>22</v>
      </c>
      <c r="C300">
        <f>IFERROR(_xlfn.XLOOKUP(I300,dim_produits!$C:$C,dim_produits!$A:$A,""),"")</f>
        <v>7</v>
      </c>
      <c r="D300">
        <v>5</v>
      </c>
      <c r="E300" s="12">
        <v>750</v>
      </c>
      <c r="F300" s="12">
        <f t="shared" ref="F300:F363" si="19">D300*E300</f>
        <v>3750</v>
      </c>
      <c r="G300" s="12">
        <f>_xlfn.XLOOKUP(I300,dim_lignes_achat!$L:$L,dim_lignes_achat!$H:$H,"Nicht gefunden",0)</f>
        <v>600</v>
      </c>
      <c r="H300" s="12">
        <f t="shared" si="18"/>
        <v>3000</v>
      </c>
      <c r="I300" t="s">
        <v>220</v>
      </c>
      <c r="L300" t="str">
        <f>IF(ISNUMBER(MATCH(I300,dim_produits!$C:$C,0)),"OK","MANQUANT")</f>
        <v>OK</v>
      </c>
    </row>
    <row r="301" spans="1:12">
      <c r="A301">
        <f t="shared" si="15"/>
        <v>300</v>
      </c>
      <c r="B301">
        <v>22</v>
      </c>
      <c r="C301">
        <f>IFERROR(_xlfn.XLOOKUP(I301,dim_produits!$C:$C,dim_produits!$A:$A,""),"")</f>
        <v>15</v>
      </c>
      <c r="D301">
        <v>7</v>
      </c>
      <c r="E301" s="12">
        <v>1000</v>
      </c>
      <c r="F301" s="12">
        <f t="shared" si="19"/>
        <v>7000</v>
      </c>
      <c r="G301" s="12">
        <f>_xlfn.XLOOKUP(I301,dim_lignes_achat!$L:$L,dim_lignes_achat!$H:$H,"Nicht gefunden",0)</f>
        <v>741.66666666666663</v>
      </c>
      <c r="H301" s="12">
        <f t="shared" si="18"/>
        <v>5191.6666666666661</v>
      </c>
      <c r="I301" t="s">
        <v>230</v>
      </c>
      <c r="L301" t="str">
        <f>IF(ISNUMBER(MATCH(I301,dim_produits!$C:$C,0)),"OK","MANQUANT")</f>
        <v>OK</v>
      </c>
    </row>
    <row r="302" spans="1:12">
      <c r="A302">
        <f t="shared" si="15"/>
        <v>301</v>
      </c>
      <c r="B302">
        <v>22</v>
      </c>
      <c r="C302">
        <f>IFERROR(_xlfn.XLOOKUP(I302,dim_produits!$C:$C,dim_produits!$A:$A,""),"")</f>
        <v>94</v>
      </c>
      <c r="D302">
        <v>1</v>
      </c>
      <c r="E302" s="12">
        <v>400</v>
      </c>
      <c r="F302" s="12">
        <f t="shared" si="19"/>
        <v>400</v>
      </c>
      <c r="G302" s="12">
        <f>_xlfn.XLOOKUP(I302,dim_lignes_achat!$L:$L,dim_lignes_achat!$H:$H,"Nicht gefunden",0)</f>
        <v>340</v>
      </c>
      <c r="H302" s="12">
        <f t="shared" si="18"/>
        <v>340</v>
      </c>
      <c r="I302" t="s">
        <v>216</v>
      </c>
      <c r="L302" t="str">
        <f>IF(ISNUMBER(MATCH(I302,dim_produits!$C:$C,0)),"OK","MANQUANT")</f>
        <v>OK</v>
      </c>
    </row>
    <row r="303" spans="1:12">
      <c r="A303">
        <f t="shared" si="15"/>
        <v>302</v>
      </c>
      <c r="B303">
        <v>22</v>
      </c>
      <c r="C303">
        <f>IFERROR(_xlfn.XLOOKUP(I303,dim_produits!$C:$C,dim_produits!$A:$A,""),"")</f>
        <v>31</v>
      </c>
      <c r="D303">
        <v>1</v>
      </c>
      <c r="E303" s="12">
        <v>1000</v>
      </c>
      <c r="F303" s="12">
        <f t="shared" si="19"/>
        <v>1000</v>
      </c>
      <c r="G303" s="12">
        <f>_xlfn.XLOOKUP(I303,dim_lignes_achat!$L:$L,dim_lignes_achat!$H:$H,"Nicht gefunden",0)</f>
        <v>900</v>
      </c>
      <c r="H303" s="12">
        <f t="shared" si="18"/>
        <v>900</v>
      </c>
      <c r="I303" t="s">
        <v>200</v>
      </c>
      <c r="L303" t="str">
        <f>IF(ISNUMBER(MATCH(I303,dim_produits!$C:$C,0)),"OK","MANQUANT")</f>
        <v>OK</v>
      </c>
    </row>
    <row r="304" spans="1:12">
      <c r="A304">
        <f t="shared" si="15"/>
        <v>303</v>
      </c>
      <c r="B304">
        <v>22</v>
      </c>
      <c r="C304">
        <f>IFERROR(_xlfn.XLOOKUP(I304,dim_produits!$C:$C,dim_produits!$A:$A,""),"")</f>
        <v>4</v>
      </c>
      <c r="D304">
        <v>3</v>
      </c>
      <c r="E304" s="12">
        <v>50</v>
      </c>
      <c r="F304" s="12">
        <f t="shared" si="19"/>
        <v>150</v>
      </c>
      <c r="G304" s="12">
        <f>_xlfn.XLOOKUP(I304,dim_lignes_achat!$L:$L,dim_lignes_achat!$H:$H,"Nicht gefunden",0)</f>
        <v>39.166666666666664</v>
      </c>
      <c r="H304" s="12">
        <f t="shared" si="18"/>
        <v>117.5</v>
      </c>
      <c r="I304" t="s">
        <v>168</v>
      </c>
      <c r="L304" t="str">
        <f>IF(ISNUMBER(MATCH(I304,dim_produits!$C:$C,0)),"OK","MANQUANT")</f>
        <v>OK</v>
      </c>
    </row>
    <row r="305" spans="1:12">
      <c r="A305">
        <f t="shared" si="15"/>
        <v>304</v>
      </c>
      <c r="B305">
        <v>22</v>
      </c>
      <c r="C305">
        <f>IFERROR(_xlfn.XLOOKUP(I305,dim_produits!$C:$C,dim_produits!$A:$A,""),"")</f>
        <v>105</v>
      </c>
      <c r="D305">
        <v>3</v>
      </c>
      <c r="E305" s="12">
        <v>50</v>
      </c>
      <c r="F305" s="12">
        <f t="shared" si="19"/>
        <v>150</v>
      </c>
      <c r="G305" s="12">
        <f>_xlfn.XLOOKUP(I305,dim_lignes_achat!$L:$L,dim_lignes_achat!$H:$H,"Nicht gefunden",0)</f>
        <v>30</v>
      </c>
      <c r="H305" s="12">
        <f t="shared" si="18"/>
        <v>90</v>
      </c>
      <c r="I305" t="s">
        <v>351</v>
      </c>
      <c r="L305" t="str">
        <f>IF(ISNUMBER(MATCH(I305,dim_produits!$C:$C,0)),"OK","MANQUANT")</f>
        <v>OK</v>
      </c>
    </row>
    <row r="306" spans="1:12">
      <c r="A306">
        <f t="shared" si="15"/>
        <v>305</v>
      </c>
      <c r="B306">
        <v>22</v>
      </c>
      <c r="C306">
        <f>IFERROR(_xlfn.XLOOKUP(I306,dim_produits!$C:$C,dim_produits!$A:$A,""),"")</f>
        <v>83</v>
      </c>
      <c r="D306">
        <v>1</v>
      </c>
      <c r="E306" s="12">
        <v>650</v>
      </c>
      <c r="F306" s="12">
        <f t="shared" si="19"/>
        <v>650</v>
      </c>
      <c r="G306" s="12">
        <f>_xlfn.XLOOKUP(I306,dim_lignes_achat!$L:$L,dim_lignes_achat!$H:$H,"Nicht gefunden",0)</f>
        <v>541.66</v>
      </c>
      <c r="H306" s="12">
        <f t="shared" si="18"/>
        <v>541.66</v>
      </c>
      <c r="I306" t="s">
        <v>208</v>
      </c>
      <c r="L306" t="str">
        <f>IF(ISNUMBER(MATCH(I306,dim_produits!$C:$C,0)),"OK","MANQUANT")</f>
        <v>OK</v>
      </c>
    </row>
    <row r="307" spans="1:12">
      <c r="A307">
        <f t="shared" si="15"/>
        <v>306</v>
      </c>
      <c r="B307">
        <v>22</v>
      </c>
      <c r="C307">
        <f>IFERROR(_xlfn.XLOOKUP(I307,dim_produits!$C:$C,dim_produits!$A:$A,""),"")</f>
        <v>10</v>
      </c>
      <c r="D307">
        <v>2</v>
      </c>
      <c r="E307" s="12">
        <v>750</v>
      </c>
      <c r="F307" s="12">
        <f t="shared" si="19"/>
        <v>1500</v>
      </c>
      <c r="G307" s="12">
        <f>_xlfn.XLOOKUP(I307,dim_lignes_achat!$L:$L,dim_lignes_achat!$H:$H,"Nicht gefunden",0)</f>
        <v>595.83333333333337</v>
      </c>
      <c r="H307" s="12">
        <f t="shared" si="18"/>
        <v>1191.6666666666667</v>
      </c>
      <c r="I307" t="s">
        <v>227</v>
      </c>
      <c r="L307" t="str">
        <f>IF(ISNUMBER(MATCH(I307,dim_produits!$C:$C,0)),"OK","MANQUANT")</f>
        <v>OK</v>
      </c>
    </row>
    <row r="308" spans="1:12">
      <c r="A308">
        <f t="shared" si="15"/>
        <v>307</v>
      </c>
      <c r="B308">
        <v>22</v>
      </c>
      <c r="C308">
        <f>IFERROR(_xlfn.XLOOKUP(I308,dim_produits!$C:$C,dim_produits!$A:$A,""),"")</f>
        <v>75</v>
      </c>
      <c r="D308">
        <v>1</v>
      </c>
      <c r="E308" s="12">
        <v>800</v>
      </c>
      <c r="F308" s="12">
        <f t="shared" si="19"/>
        <v>800</v>
      </c>
      <c r="G308" s="12">
        <f>_xlfn.XLOOKUP(I308,dim_lignes_achat!$L:$L,dim_lignes_achat!$H:$H,"Nicht gefunden",0)</f>
        <v>650</v>
      </c>
      <c r="H308" s="12">
        <f t="shared" si="18"/>
        <v>650</v>
      </c>
      <c r="I308" t="s">
        <v>199</v>
      </c>
      <c r="L308" t="str">
        <f>IF(ISNUMBER(MATCH(I308,dim_produits!$C:$C,0)),"OK","MANQUANT")</f>
        <v>OK</v>
      </c>
    </row>
    <row r="309" spans="1:12">
      <c r="A309">
        <f t="shared" si="15"/>
        <v>308</v>
      </c>
      <c r="B309">
        <v>22</v>
      </c>
      <c r="C309">
        <f>IFERROR(_xlfn.XLOOKUP(I309,dim_produits!$C:$C,dim_produits!$A:$A,""),"")</f>
        <v>74</v>
      </c>
      <c r="D309">
        <v>1</v>
      </c>
      <c r="E309" s="12">
        <v>800</v>
      </c>
      <c r="F309" s="12">
        <f t="shared" si="19"/>
        <v>800</v>
      </c>
      <c r="G309" s="12">
        <f>_xlfn.XLOOKUP(I309,dim_lignes_achat!$L:$L,dim_lignes_achat!$H:$H,"Nicht gefunden",0)</f>
        <v>700</v>
      </c>
      <c r="H309" s="12">
        <f t="shared" si="18"/>
        <v>700</v>
      </c>
      <c r="I309" t="s">
        <v>198</v>
      </c>
      <c r="L309" t="str">
        <f>IF(ISNUMBER(MATCH(I309,dim_produits!$C:$C,0)),"OK","MANQUANT")</f>
        <v>OK</v>
      </c>
    </row>
    <row r="310" spans="1:12">
      <c r="A310">
        <f t="shared" si="15"/>
        <v>309</v>
      </c>
      <c r="B310">
        <v>22</v>
      </c>
      <c r="C310">
        <f>IFERROR(_xlfn.XLOOKUP(I310,dim_produits!$C:$C,dim_produits!$A:$A,""),"")</f>
        <v>84</v>
      </c>
      <c r="D310">
        <v>1</v>
      </c>
      <c r="E310" s="12">
        <v>500</v>
      </c>
      <c r="F310" s="12">
        <f t="shared" si="19"/>
        <v>500</v>
      </c>
      <c r="G310" s="12">
        <f>_xlfn.XLOOKUP(I310,dim_lignes_achat!$L:$L,dim_lignes_achat!$H:$H,"Nicht gefunden",0)</f>
        <v>583.33333333333337</v>
      </c>
      <c r="H310" s="12">
        <f t="shared" si="18"/>
        <v>583.33333333333337</v>
      </c>
      <c r="I310" t="s">
        <v>209</v>
      </c>
      <c r="L310" t="str">
        <f>IF(ISNUMBER(MATCH(I310,dim_produits!$C:$C,0)),"OK","MANQUANT")</f>
        <v>OK</v>
      </c>
    </row>
    <row r="311" spans="1:12">
      <c r="A311">
        <f t="shared" si="15"/>
        <v>310</v>
      </c>
      <c r="B311">
        <v>22</v>
      </c>
      <c r="C311">
        <f>IFERROR(_xlfn.XLOOKUP(I311,dim_produits!$C:$C,dim_produits!$A:$A,""),"")</f>
        <v>33</v>
      </c>
      <c r="D311">
        <v>1</v>
      </c>
      <c r="E311" s="12">
        <v>400</v>
      </c>
      <c r="F311" s="12">
        <f t="shared" si="19"/>
        <v>400</v>
      </c>
      <c r="G311" s="12">
        <f>_xlfn.XLOOKUP(I311,dim_lignes_achat!$L:$L,dim_lignes_achat!$H:$H,"Nicht gefunden",0)</f>
        <v>225</v>
      </c>
      <c r="H311" s="12">
        <f t="shared" si="18"/>
        <v>225</v>
      </c>
      <c r="I311" t="s">
        <v>212</v>
      </c>
      <c r="L311" t="str">
        <f>IF(ISNUMBER(MATCH(I311,dim_produits!$C:$C,0)),"OK","MANQUANT")</f>
        <v>OK</v>
      </c>
    </row>
    <row r="312" spans="1:12">
      <c r="A312">
        <f t="shared" si="15"/>
        <v>311</v>
      </c>
      <c r="B312">
        <v>22</v>
      </c>
      <c r="C312">
        <f>IFERROR(_xlfn.XLOOKUP(I312,dim_produits!$C:$C,dim_produits!$A:$A,""),"")</f>
        <v>26</v>
      </c>
      <c r="D312">
        <v>1</v>
      </c>
      <c r="E312" s="12">
        <v>100</v>
      </c>
      <c r="F312" s="12">
        <f t="shared" si="19"/>
        <v>100</v>
      </c>
      <c r="G312" s="12">
        <f>_xlfn.XLOOKUP(I312,dim_lignes_achat!$L:$L,dim_lignes_achat!$H:$H,"Nicht gefunden",0)</f>
        <v>86</v>
      </c>
      <c r="H312" s="12">
        <f t="shared" si="18"/>
        <v>86</v>
      </c>
      <c r="I312" t="s">
        <v>176</v>
      </c>
      <c r="L312" t="str">
        <f>IF(ISNUMBER(MATCH(I312,dim_produits!$C:$C,0)),"OK","MANQUANT")</f>
        <v>OK</v>
      </c>
    </row>
    <row r="313" spans="1:12">
      <c r="A313">
        <f t="shared" si="15"/>
        <v>312</v>
      </c>
      <c r="B313">
        <v>22</v>
      </c>
      <c r="C313">
        <f>IFERROR(_xlfn.XLOOKUP(I313,dim_produits!$C:$C,dim_produits!$A:$A,""),"")</f>
        <v>62</v>
      </c>
      <c r="D313">
        <v>1</v>
      </c>
      <c r="E313" s="12">
        <v>250</v>
      </c>
      <c r="F313" s="12">
        <f t="shared" si="19"/>
        <v>250</v>
      </c>
      <c r="G313" s="12">
        <f>_xlfn.XLOOKUP(I313,dim_lignes_achat!$L:$L,dim_lignes_achat!$H:$H,"Nicht gefunden",0)</f>
        <v>191.66666666666666</v>
      </c>
      <c r="H313" s="12">
        <f t="shared" si="18"/>
        <v>191.66666666666666</v>
      </c>
      <c r="I313" t="s">
        <v>157</v>
      </c>
      <c r="L313" t="str">
        <f>IF(ISNUMBER(MATCH(I313,dim_produits!$C:$C,0)),"OK","MANQUANT")</f>
        <v>OK</v>
      </c>
    </row>
    <row r="314" spans="1:12">
      <c r="A314">
        <f t="shared" si="15"/>
        <v>313</v>
      </c>
      <c r="B314">
        <v>22</v>
      </c>
      <c r="C314">
        <f>IFERROR(_xlfn.XLOOKUP(I314,dim_produits!$C:$C,dim_produits!$A:$A,""),"")</f>
        <v>73</v>
      </c>
      <c r="D314">
        <v>1</v>
      </c>
      <c r="E314" s="12">
        <v>500</v>
      </c>
      <c r="F314" s="12">
        <f t="shared" si="19"/>
        <v>500</v>
      </c>
      <c r="G314" s="12">
        <f>_xlfn.XLOOKUP(I314,dim_lignes_achat!$L:$L,dim_lignes_achat!$H:$H,"Nicht gefunden",0)</f>
        <v>366.66</v>
      </c>
      <c r="H314" s="12">
        <f t="shared" si="18"/>
        <v>366.66</v>
      </c>
      <c r="I314" t="s">
        <v>196</v>
      </c>
      <c r="L314" t="str">
        <f>IF(ISNUMBER(MATCH(I314,dim_produits!$C:$C,0)),"OK","MANQUANT")</f>
        <v>OK</v>
      </c>
    </row>
    <row r="315" spans="1:12">
      <c r="A315">
        <f t="shared" si="15"/>
        <v>314</v>
      </c>
      <c r="B315">
        <v>22</v>
      </c>
      <c r="C315">
        <f>IFERROR(_xlfn.XLOOKUP(I315,dim_produits!$C:$C,dim_produits!$A:$A,""),"")</f>
        <v>84</v>
      </c>
      <c r="D315">
        <v>1</v>
      </c>
      <c r="E315" s="12">
        <v>700</v>
      </c>
      <c r="F315" s="12">
        <f t="shared" si="19"/>
        <v>700</v>
      </c>
      <c r="G315" s="12">
        <f>_xlfn.XLOOKUP(I315,dim_lignes_achat!$L:$L,dim_lignes_achat!$H:$H,"Nicht gefunden",0)</f>
        <v>583.33333333333337</v>
      </c>
      <c r="H315" s="12">
        <f t="shared" si="18"/>
        <v>583.33333333333337</v>
      </c>
      <c r="I315" t="s">
        <v>209</v>
      </c>
      <c r="L315" t="str">
        <f>IF(ISNUMBER(MATCH(I315,dim_produits!$C:$C,0)),"OK","MANQUANT")</f>
        <v>OK</v>
      </c>
    </row>
    <row r="316" spans="1:12">
      <c r="A316">
        <f t="shared" si="15"/>
        <v>315</v>
      </c>
      <c r="B316">
        <v>22</v>
      </c>
      <c r="C316">
        <f>IFERROR(_xlfn.XLOOKUP(I316,dim_produits!$C:$C,dim_produits!$A:$A,""),"")</f>
        <v>53</v>
      </c>
      <c r="D316">
        <v>1</v>
      </c>
      <c r="E316" s="12">
        <v>800</v>
      </c>
      <c r="F316" s="12">
        <f t="shared" si="19"/>
        <v>800</v>
      </c>
      <c r="G316" s="12">
        <f>_xlfn.XLOOKUP(I316,dim_lignes_achat!$L:$L,dim_lignes_achat!$H:$H,"Nicht gefunden",0)</f>
        <v>600</v>
      </c>
      <c r="H316" s="12">
        <f t="shared" si="18"/>
        <v>600</v>
      </c>
      <c r="I316" t="s">
        <v>370</v>
      </c>
      <c r="L316" t="str">
        <f>IF(ISNUMBER(MATCH(I316,dim_produits!$C:$C,0)),"OK","MANQUANT")</f>
        <v>OK</v>
      </c>
    </row>
    <row r="317" spans="1:12">
      <c r="A317">
        <f t="shared" si="15"/>
        <v>316</v>
      </c>
      <c r="B317">
        <v>22</v>
      </c>
      <c r="C317">
        <f>IFERROR(_xlfn.XLOOKUP(I317,dim_produits!$C:$C,dim_produits!$A:$A,""),"")</f>
        <v>36</v>
      </c>
      <c r="D317">
        <v>1</v>
      </c>
      <c r="E317" s="12">
        <v>300</v>
      </c>
      <c r="F317" s="12">
        <f t="shared" si="19"/>
        <v>300</v>
      </c>
      <c r="G317" s="12">
        <f>_xlfn.XLOOKUP(I317,dim_lignes_achat!$L:$L,dim_lignes_achat!$H:$H,"Nicht gefunden",0)</f>
        <v>200</v>
      </c>
      <c r="H317" s="12">
        <f t="shared" si="18"/>
        <v>200</v>
      </c>
      <c r="I317" t="s">
        <v>215</v>
      </c>
      <c r="L317" t="str">
        <f>IF(ISNUMBER(MATCH(I317,dim_produits!$C:$C,0)),"OK","MANQUANT")</f>
        <v>OK</v>
      </c>
    </row>
    <row r="318" spans="1:12">
      <c r="A318">
        <f t="shared" si="15"/>
        <v>317</v>
      </c>
      <c r="B318">
        <v>22</v>
      </c>
      <c r="C318">
        <f>IFERROR(_xlfn.XLOOKUP(I318,dim_produits!$C:$C,dim_produits!$A:$A,""),"")</f>
        <v>56</v>
      </c>
      <c r="D318">
        <v>1</v>
      </c>
      <c r="E318" s="12">
        <v>1200</v>
      </c>
      <c r="F318" s="12">
        <f t="shared" si="19"/>
        <v>1200</v>
      </c>
      <c r="G318" s="12">
        <f>_xlfn.XLOOKUP(I318,dim_lignes_achat!$L:$L,dim_lignes_achat!$H:$H,"Nicht gefunden",0)</f>
        <v>650</v>
      </c>
      <c r="H318" s="12">
        <f t="shared" si="18"/>
        <v>650</v>
      </c>
      <c r="I318" t="s">
        <v>238</v>
      </c>
      <c r="L318" t="str">
        <f>IF(ISNUMBER(MATCH(I318,dim_produits!$C:$C,0)),"OK","MANQUANT")</f>
        <v>OK</v>
      </c>
    </row>
    <row r="319" spans="1:12">
      <c r="A319">
        <f t="shared" si="15"/>
        <v>318</v>
      </c>
      <c r="B319">
        <v>22</v>
      </c>
      <c r="C319">
        <f>IFERROR(_xlfn.XLOOKUP(I319,dim_produits!$C:$C,dim_produits!$A:$A,""),"")</f>
        <v>97</v>
      </c>
      <c r="D319">
        <v>15</v>
      </c>
      <c r="E319" s="12">
        <v>25</v>
      </c>
      <c r="F319" s="12">
        <f t="shared" si="19"/>
        <v>375</v>
      </c>
      <c r="G319" s="12">
        <f>_xlfn.XLOOKUP(I319,dim_lignes_achat!$L:$L,dim_lignes_achat!$H:$H,"Nicht gefunden",0)</f>
        <v>19</v>
      </c>
      <c r="H319" s="12">
        <f t="shared" si="18"/>
        <v>285</v>
      </c>
      <c r="I319" t="s">
        <v>350</v>
      </c>
      <c r="L319" t="str">
        <f>IF(ISNUMBER(MATCH(I319,dim_produits!$C:$C,0)),"OK","MANQUANT")</f>
        <v>OK</v>
      </c>
    </row>
    <row r="320" spans="1:12">
      <c r="A320">
        <f t="shared" si="15"/>
        <v>319</v>
      </c>
      <c r="B320">
        <v>23</v>
      </c>
      <c r="C320">
        <f>IFERROR(_xlfn.XLOOKUP(I320,dim_produits!$C:$C,dim_produits!$A:$A,""),"")</f>
        <v>17</v>
      </c>
      <c r="D320">
        <v>13</v>
      </c>
      <c r="E320" s="12">
        <v>600</v>
      </c>
      <c r="F320" s="12">
        <f t="shared" si="19"/>
        <v>7800</v>
      </c>
      <c r="G320" s="12">
        <f>_xlfn.XLOOKUP(I320,dim_lignes_achat!$L:$L,dim_lignes_achat!$H:$H,"Nicht gefunden",0)</f>
        <v>450</v>
      </c>
      <c r="H320" s="12">
        <f t="shared" ref="H320:H351" si="20">IF(ISNUMBER(G320),G320*D320,"")</f>
        <v>5850</v>
      </c>
      <c r="I320" t="s">
        <v>225</v>
      </c>
      <c r="L320" t="str">
        <f>IF(ISNUMBER(MATCH(I320,dim_produits!$C:$C,0)),"OK","MANQUANT")</f>
        <v>OK</v>
      </c>
    </row>
    <row r="321" spans="1:12">
      <c r="A321">
        <f t="shared" si="15"/>
        <v>320</v>
      </c>
      <c r="B321">
        <v>23</v>
      </c>
      <c r="C321">
        <f>IFERROR(_xlfn.XLOOKUP(I321,dim_produits!$C:$C,dim_produits!$A:$A,""),"")</f>
        <v>54</v>
      </c>
      <c r="D321">
        <v>10</v>
      </c>
      <c r="E321" s="12">
        <v>800</v>
      </c>
      <c r="F321" s="12">
        <f t="shared" si="19"/>
        <v>8000</v>
      </c>
      <c r="G321" s="12">
        <f>_xlfn.XLOOKUP(I321,dim_lignes_achat!$L:$L,dim_lignes_achat!$H:$H,"Nicht gefunden",0)</f>
        <v>595.83333333333337</v>
      </c>
      <c r="H321" s="12">
        <f t="shared" si="20"/>
        <v>5958.3333333333339</v>
      </c>
      <c r="I321" t="s">
        <v>235</v>
      </c>
      <c r="L321" t="str">
        <f>IF(ISNUMBER(MATCH(I321,dim_produits!$C:$C,0)),"OK","MANQUANT")</f>
        <v>OK</v>
      </c>
    </row>
    <row r="322" spans="1:12">
      <c r="A322">
        <f t="shared" si="15"/>
        <v>321</v>
      </c>
      <c r="B322">
        <v>23</v>
      </c>
      <c r="C322">
        <f>IFERROR(_xlfn.XLOOKUP(I322,dim_produits!$C:$C,dim_produits!$A:$A,""),"")</f>
        <v>9</v>
      </c>
      <c r="D322">
        <v>21</v>
      </c>
      <c r="E322" s="12">
        <v>750</v>
      </c>
      <c r="F322" s="12">
        <f t="shared" si="19"/>
        <v>15750</v>
      </c>
      <c r="G322" s="12">
        <f>_xlfn.XLOOKUP(I322,dim_lignes_achat!$L:$L,dim_lignes_achat!$H:$H,"Nicht gefunden",0)</f>
        <v>650</v>
      </c>
      <c r="H322" s="12">
        <f t="shared" si="20"/>
        <v>13650</v>
      </c>
      <c r="I322" t="s">
        <v>222</v>
      </c>
      <c r="L322" t="str">
        <f>IF(ISNUMBER(MATCH(I322,dim_produits!$C:$C,0)),"OK","MANQUANT")</f>
        <v>OK</v>
      </c>
    </row>
    <row r="323" spans="1:12">
      <c r="A323">
        <f t="shared" si="15"/>
        <v>322</v>
      </c>
      <c r="B323">
        <v>23</v>
      </c>
      <c r="C323">
        <f>IFERROR(_xlfn.XLOOKUP(I323,dim_produits!$C:$C,dim_produits!$A:$A,""),"")</f>
        <v>10</v>
      </c>
      <c r="D323">
        <v>4</v>
      </c>
      <c r="E323" s="12">
        <v>750</v>
      </c>
      <c r="F323" s="12">
        <f t="shared" si="19"/>
        <v>3000</v>
      </c>
      <c r="G323" s="12">
        <f>_xlfn.XLOOKUP(I323,dim_lignes_achat!$L:$L,dim_lignes_achat!$H:$H,"Nicht gefunden",0)</f>
        <v>595.83333333333337</v>
      </c>
      <c r="H323" s="12">
        <f t="shared" si="20"/>
        <v>2383.3333333333335</v>
      </c>
      <c r="I323" t="s">
        <v>227</v>
      </c>
      <c r="L323" t="str">
        <f>IF(ISNUMBER(MATCH(I323,dim_produits!$C:$C,0)),"OK","MANQUANT")</f>
        <v>OK</v>
      </c>
    </row>
    <row r="324" spans="1:12">
      <c r="A324">
        <f t="shared" ref="A324:A387" si="21">A323+1</f>
        <v>323</v>
      </c>
      <c r="B324">
        <v>23</v>
      </c>
      <c r="C324">
        <f>IFERROR(_xlfn.XLOOKUP(I324,dim_produits!$C:$C,dim_produits!$A:$A,""),"")</f>
        <v>11</v>
      </c>
      <c r="D324">
        <v>11</v>
      </c>
      <c r="E324" s="12">
        <v>750</v>
      </c>
      <c r="F324" s="12">
        <f t="shared" si="19"/>
        <v>8250</v>
      </c>
      <c r="G324" s="12">
        <f>_xlfn.XLOOKUP(I324,dim_lignes_achat!$L:$L,dim_lignes_achat!$H:$H,"Nicht gefunden",0)</f>
        <v>650</v>
      </c>
      <c r="H324" s="12">
        <f t="shared" si="20"/>
        <v>7150</v>
      </c>
      <c r="I324" t="s">
        <v>223</v>
      </c>
      <c r="L324" t="str">
        <f>IF(ISNUMBER(MATCH(I324,dim_produits!$C:$C,0)),"OK","MANQUANT")</f>
        <v>OK</v>
      </c>
    </row>
    <row r="325" spans="1:12">
      <c r="A325">
        <f t="shared" si="21"/>
        <v>324</v>
      </c>
      <c r="B325">
        <v>23</v>
      </c>
      <c r="C325">
        <f>IFERROR(_xlfn.XLOOKUP(I325,dim_produits!$C:$C,dim_produits!$A:$A,""),"")</f>
        <v>18</v>
      </c>
      <c r="D325">
        <v>2</v>
      </c>
      <c r="E325" s="12">
        <v>750</v>
      </c>
      <c r="F325" s="12">
        <f t="shared" si="19"/>
        <v>1500</v>
      </c>
      <c r="G325" s="12">
        <f>_xlfn.XLOOKUP(I325,dim_lignes_achat!$L:$L,dim_lignes_achat!$H:$H,"Nicht gefunden",0)</f>
        <v>650</v>
      </c>
      <c r="H325" s="12">
        <f t="shared" si="20"/>
        <v>1300</v>
      </c>
      <c r="I325" t="s">
        <v>228</v>
      </c>
      <c r="L325" t="str">
        <f>IF(ISNUMBER(MATCH(I325,dim_produits!$C:$C,0)),"OK","MANQUANT")</f>
        <v>OK</v>
      </c>
    </row>
    <row r="326" spans="1:12">
      <c r="A326">
        <f t="shared" si="21"/>
        <v>325</v>
      </c>
      <c r="B326">
        <v>23</v>
      </c>
      <c r="C326">
        <f>IFERROR(_xlfn.XLOOKUP(I326,dim_produits!$C:$C,dim_produits!$A:$A,""),"")</f>
        <v>55</v>
      </c>
      <c r="D326">
        <v>3</v>
      </c>
      <c r="E326" s="12">
        <v>900</v>
      </c>
      <c r="F326" s="12">
        <f t="shared" si="19"/>
        <v>2700</v>
      </c>
      <c r="G326" s="12">
        <f>_xlfn.XLOOKUP(I326,dim_lignes_achat!$L:$L,dim_lignes_achat!$H:$H,"Nicht gefunden",0)</f>
        <v>648.79999999999995</v>
      </c>
      <c r="H326" s="12">
        <f t="shared" si="20"/>
        <v>1946.3999999999999</v>
      </c>
      <c r="I326" t="s">
        <v>369</v>
      </c>
      <c r="L326" t="str">
        <f>IF(ISNUMBER(MATCH(I326,dim_produits!$C:$C,0)),"OK","MANQUANT")</f>
        <v>OK</v>
      </c>
    </row>
    <row r="327" spans="1:12">
      <c r="A327">
        <f t="shared" si="21"/>
        <v>326</v>
      </c>
      <c r="B327">
        <v>23</v>
      </c>
      <c r="C327">
        <f>IFERROR(_xlfn.XLOOKUP(I327,dim_produits!$C:$C,dim_produits!$A:$A,""),"")</f>
        <v>15</v>
      </c>
      <c r="D327">
        <v>1</v>
      </c>
      <c r="E327" s="12">
        <v>1000</v>
      </c>
      <c r="F327" s="12">
        <f t="shared" si="19"/>
        <v>1000</v>
      </c>
      <c r="G327" s="12">
        <f>_xlfn.XLOOKUP(I327,dim_lignes_achat!$L:$L,dim_lignes_achat!$H:$H,"Nicht gefunden",0)</f>
        <v>741.66666666666663</v>
      </c>
      <c r="H327" s="12">
        <f t="shared" si="20"/>
        <v>741.66666666666663</v>
      </c>
      <c r="I327" t="s">
        <v>230</v>
      </c>
      <c r="L327" t="str">
        <f>IF(ISNUMBER(MATCH(I327,dim_produits!$C:$C,0)),"OK","MANQUANT")</f>
        <v>OK</v>
      </c>
    </row>
    <row r="328" spans="1:12">
      <c r="A328">
        <f t="shared" si="21"/>
        <v>327</v>
      </c>
      <c r="B328">
        <v>23</v>
      </c>
      <c r="C328">
        <f>IFERROR(_xlfn.XLOOKUP(I328,dim_produits!$C:$C,dim_produits!$A:$A,""),"")</f>
        <v>41</v>
      </c>
      <c r="D328">
        <v>1</v>
      </c>
      <c r="E328" s="12">
        <v>50</v>
      </c>
      <c r="F328" s="12">
        <f t="shared" si="19"/>
        <v>50</v>
      </c>
      <c r="G328" s="12">
        <f>_xlfn.XLOOKUP(I328,dim_lignes_achat!$L:$L,dim_lignes_achat!$H:$H,"Nicht gefunden",0)</f>
        <v>37.333333333333336</v>
      </c>
      <c r="H328" s="12">
        <f t="shared" si="20"/>
        <v>37.333333333333336</v>
      </c>
      <c r="I328" t="s">
        <v>169</v>
      </c>
      <c r="L328" t="str">
        <f>IF(ISNUMBER(MATCH(I328,dim_produits!$C:$C,0)),"OK","MANQUANT")</f>
        <v>OK</v>
      </c>
    </row>
    <row r="329" spans="1:12">
      <c r="A329">
        <f t="shared" si="21"/>
        <v>328</v>
      </c>
      <c r="B329">
        <v>23</v>
      </c>
      <c r="C329">
        <f>IFERROR(_xlfn.XLOOKUP(I329,dim_produits!$C:$C,dim_produits!$A:$A,""),"")</f>
        <v>4</v>
      </c>
      <c r="D329">
        <v>7</v>
      </c>
      <c r="E329" s="12">
        <v>50</v>
      </c>
      <c r="F329" s="12">
        <f t="shared" si="19"/>
        <v>350</v>
      </c>
      <c r="G329" s="12">
        <f>_xlfn.XLOOKUP(I329,dim_lignes_achat!$L:$L,dim_lignes_achat!$H:$H,"Nicht gefunden",0)</f>
        <v>39.166666666666664</v>
      </c>
      <c r="H329" s="12">
        <f t="shared" si="20"/>
        <v>274.16666666666663</v>
      </c>
      <c r="I329" t="s">
        <v>168</v>
      </c>
      <c r="L329" t="str">
        <f>IF(ISNUMBER(MATCH(I329,dim_produits!$C:$C,0)),"OK","MANQUANT")</f>
        <v>OK</v>
      </c>
    </row>
    <row r="330" spans="1:12">
      <c r="A330">
        <f t="shared" si="21"/>
        <v>329</v>
      </c>
      <c r="B330">
        <v>23</v>
      </c>
      <c r="C330">
        <f>IFERROR(_xlfn.XLOOKUP(I330,dim_produits!$C:$C,dim_produits!$A:$A,""),"")</f>
        <v>6</v>
      </c>
      <c r="D330">
        <v>1</v>
      </c>
      <c r="E330" s="12">
        <v>500</v>
      </c>
      <c r="F330" s="12">
        <f t="shared" si="19"/>
        <v>500</v>
      </c>
      <c r="G330" s="12">
        <f>_xlfn.XLOOKUP(I330,dim_lignes_achat!$L:$L,dim_lignes_achat!$H:$H,"Nicht gefunden",0)</f>
        <v>379.99200000000002</v>
      </c>
      <c r="H330" s="12">
        <f t="shared" si="20"/>
        <v>379.99200000000002</v>
      </c>
      <c r="I330" t="s">
        <v>368</v>
      </c>
      <c r="L330" t="str">
        <f>IF(ISNUMBER(MATCH(I330,dim_produits!$C:$C,0)),"OK","MANQUANT")</f>
        <v>OK</v>
      </c>
    </row>
    <row r="331" spans="1:12">
      <c r="A331">
        <f t="shared" si="21"/>
        <v>330</v>
      </c>
      <c r="B331">
        <v>23</v>
      </c>
      <c r="C331">
        <f>IFERROR(_xlfn.XLOOKUP(I331,dim_produits!$C:$C,dim_produits!$A:$A,""),"")</f>
        <v>26</v>
      </c>
      <c r="D331">
        <v>1</v>
      </c>
      <c r="E331" s="12">
        <v>100</v>
      </c>
      <c r="F331" s="12">
        <f t="shared" si="19"/>
        <v>100</v>
      </c>
      <c r="G331" s="12">
        <f>_xlfn.XLOOKUP(I331,dim_lignes_achat!$L:$L,dim_lignes_achat!$H:$H,"Nicht gefunden",0)</f>
        <v>86</v>
      </c>
      <c r="H331" s="12">
        <f t="shared" si="20"/>
        <v>86</v>
      </c>
      <c r="I331" t="s">
        <v>176</v>
      </c>
      <c r="L331" t="str">
        <f>IF(ISNUMBER(MATCH(I331,dim_produits!$C:$C,0)),"OK","MANQUANT")</f>
        <v>OK</v>
      </c>
    </row>
    <row r="332" spans="1:12">
      <c r="A332">
        <f t="shared" si="21"/>
        <v>331</v>
      </c>
      <c r="B332">
        <v>23</v>
      </c>
      <c r="C332">
        <f>IFERROR(_xlfn.XLOOKUP(I332,dim_produits!$C:$C,dim_produits!$A:$A,""),"")</f>
        <v>44</v>
      </c>
      <c r="D332">
        <v>1</v>
      </c>
      <c r="E332" s="12">
        <v>75</v>
      </c>
      <c r="F332" s="12">
        <f t="shared" si="19"/>
        <v>75</v>
      </c>
      <c r="G332" s="12">
        <f>_xlfn.XLOOKUP(I332,dim_lignes_achat!$L:$L,dim_lignes_achat!$H:$H,"Nicht gefunden",0)</f>
        <v>56.666666666666664</v>
      </c>
      <c r="H332" s="12">
        <f t="shared" si="20"/>
        <v>56.666666666666664</v>
      </c>
      <c r="I332" t="s">
        <v>162</v>
      </c>
      <c r="L332" t="str">
        <f>IF(ISNUMBER(MATCH(I332,dim_produits!$C:$C,0)),"OK","MANQUANT")</f>
        <v>OK</v>
      </c>
    </row>
    <row r="333" spans="1:12">
      <c r="A333">
        <f t="shared" si="21"/>
        <v>332</v>
      </c>
      <c r="B333">
        <v>23</v>
      </c>
      <c r="C333">
        <f>IFERROR(_xlfn.XLOOKUP(I333,dim_produits!$C:$C,dim_produits!$A:$A,""),"")</f>
        <v>45</v>
      </c>
      <c r="D333">
        <v>4</v>
      </c>
      <c r="E333" s="12">
        <v>50</v>
      </c>
      <c r="F333" s="12">
        <f t="shared" si="19"/>
        <v>200</v>
      </c>
      <c r="G333" s="12">
        <f>_xlfn.XLOOKUP(I333,dim_lignes_achat!$L:$L,dim_lignes_achat!$H:$H,"Nicht gefunden",0)</f>
        <v>24</v>
      </c>
      <c r="H333" s="12">
        <f t="shared" si="20"/>
        <v>96</v>
      </c>
      <c r="I333" t="s">
        <v>164</v>
      </c>
      <c r="L333" t="str">
        <f>IF(ISNUMBER(MATCH(I333,dim_produits!$C:$C,0)),"OK","MANQUANT")</f>
        <v>OK</v>
      </c>
    </row>
    <row r="334" spans="1:12">
      <c r="A334">
        <f t="shared" si="21"/>
        <v>333</v>
      </c>
      <c r="B334">
        <v>23</v>
      </c>
      <c r="C334">
        <f>IFERROR(_xlfn.XLOOKUP(I334,dim_produits!$C:$C,dim_produits!$A:$A,""),"")</f>
        <v>34</v>
      </c>
      <c r="D334">
        <v>1</v>
      </c>
      <c r="E334" s="12">
        <v>1200</v>
      </c>
      <c r="F334" s="12">
        <f t="shared" si="19"/>
        <v>1200</v>
      </c>
      <c r="G334" s="12">
        <f>_xlfn.XLOOKUP(I334,dim_lignes_achat!$L:$L,dim_lignes_achat!$H:$H,"Nicht gefunden",0)</f>
        <v>1000</v>
      </c>
      <c r="H334" s="12">
        <f t="shared" si="20"/>
        <v>1000</v>
      </c>
      <c r="I334" t="s">
        <v>213</v>
      </c>
      <c r="L334" t="str">
        <f>IF(ISNUMBER(MATCH(I334,dim_produits!$C:$C,0)),"OK","MANQUANT")</f>
        <v>OK</v>
      </c>
    </row>
    <row r="335" spans="1:12">
      <c r="A335">
        <f t="shared" si="21"/>
        <v>334</v>
      </c>
      <c r="B335">
        <v>23</v>
      </c>
      <c r="C335">
        <f>IFERROR(_xlfn.XLOOKUP(I335,dim_produits!$C:$C,dim_produits!$A:$A,""),"")</f>
        <v>64</v>
      </c>
      <c r="D335">
        <v>2</v>
      </c>
      <c r="E335" s="12">
        <v>200</v>
      </c>
      <c r="F335" s="12">
        <f t="shared" si="19"/>
        <v>400</v>
      </c>
      <c r="G335" s="12">
        <f>_xlfn.XLOOKUP(I335,dim_lignes_achat!$L:$L,dim_lignes_achat!$H:$H,"Nicht gefunden",0)</f>
        <v>239.58333333333334</v>
      </c>
      <c r="H335" s="12">
        <f t="shared" si="20"/>
        <v>479.16666666666669</v>
      </c>
      <c r="I335" t="s">
        <v>167</v>
      </c>
      <c r="L335" t="str">
        <f>IF(ISNUMBER(MATCH(I335,dim_produits!$C:$C,0)),"OK","MANQUANT")</f>
        <v>OK</v>
      </c>
    </row>
    <row r="336" spans="1:12">
      <c r="A336">
        <f t="shared" si="21"/>
        <v>335</v>
      </c>
      <c r="B336">
        <v>23</v>
      </c>
      <c r="C336">
        <f>IFERROR(_xlfn.XLOOKUP(I336,dim_produits!$C:$C,dim_produits!$A:$A,""),"")</f>
        <v>46</v>
      </c>
      <c r="D336">
        <v>1</v>
      </c>
      <c r="E336" s="12">
        <v>1500</v>
      </c>
      <c r="F336" s="12">
        <f t="shared" si="19"/>
        <v>1500</v>
      </c>
      <c r="G336" s="12">
        <f>_xlfn.XLOOKUP(I336,dim_lignes_achat!$L:$L,dim_lignes_achat!$H:$H,"Nicht gefunden",0)</f>
        <v>1400</v>
      </c>
      <c r="H336" s="12">
        <f t="shared" si="20"/>
        <v>1400</v>
      </c>
      <c r="I336" t="s">
        <v>175</v>
      </c>
      <c r="L336" t="str">
        <f>IF(ISNUMBER(MATCH(I336,dim_produits!$C:$C,0)),"OK","MANQUANT")</f>
        <v>OK</v>
      </c>
    </row>
    <row r="337" spans="1:12">
      <c r="A337">
        <f t="shared" si="21"/>
        <v>336</v>
      </c>
      <c r="B337">
        <v>23</v>
      </c>
      <c r="C337">
        <f>IFERROR(_xlfn.XLOOKUP(I337,dim_produits!$C:$C,dim_produits!$A:$A,""),"")</f>
        <v>7</v>
      </c>
      <c r="D337">
        <v>2</v>
      </c>
      <c r="E337" s="12">
        <v>750</v>
      </c>
      <c r="F337" s="12">
        <f t="shared" si="19"/>
        <v>1500</v>
      </c>
      <c r="G337" s="12">
        <f>_xlfn.XLOOKUP(I337,dim_lignes_achat!$L:$L,dim_lignes_achat!$H:$H,"Nicht gefunden",0)</f>
        <v>600</v>
      </c>
      <c r="H337" s="12">
        <f t="shared" si="20"/>
        <v>1200</v>
      </c>
      <c r="I337" t="s">
        <v>220</v>
      </c>
      <c r="L337" t="str">
        <f>IF(ISNUMBER(MATCH(I337,dim_produits!$C:$C,0)),"OK","MANQUANT")</f>
        <v>OK</v>
      </c>
    </row>
    <row r="338" spans="1:12">
      <c r="A338">
        <f t="shared" si="21"/>
        <v>337</v>
      </c>
      <c r="B338">
        <v>23</v>
      </c>
      <c r="C338">
        <f>IFERROR(_xlfn.XLOOKUP(I338,dim_produits!$C:$C,dim_produits!$A:$A,""),"")</f>
        <v>70</v>
      </c>
      <c r="D338">
        <v>1</v>
      </c>
      <c r="E338" s="12">
        <v>350</v>
      </c>
      <c r="F338" s="12">
        <f t="shared" si="19"/>
        <v>350</v>
      </c>
      <c r="G338" s="12">
        <f>_xlfn.XLOOKUP(I338,dim_lignes_achat!$L:$L,dim_lignes_achat!$H:$H,"Nicht gefunden",0)</f>
        <v>325</v>
      </c>
      <c r="H338" s="12">
        <f t="shared" si="20"/>
        <v>325</v>
      </c>
      <c r="I338" t="s">
        <v>180</v>
      </c>
      <c r="L338" t="str">
        <f>IF(ISNUMBER(MATCH(I338,dim_produits!$C:$C,0)),"OK","MANQUANT")</f>
        <v>OK</v>
      </c>
    </row>
    <row r="339" spans="1:12">
      <c r="A339">
        <f t="shared" si="21"/>
        <v>338</v>
      </c>
      <c r="B339">
        <v>23</v>
      </c>
      <c r="C339">
        <f>IFERROR(_xlfn.XLOOKUP(I339,dim_produits!$C:$C,dim_produits!$A:$A,""),"")</f>
        <v>84</v>
      </c>
      <c r="D339">
        <v>2</v>
      </c>
      <c r="E339" s="12">
        <v>700</v>
      </c>
      <c r="F339" s="12">
        <f t="shared" si="19"/>
        <v>1400</v>
      </c>
      <c r="G339" s="12">
        <f>_xlfn.XLOOKUP(I339,dim_lignes_achat!$L:$L,dim_lignes_achat!$H:$H,"Nicht gefunden",0)</f>
        <v>583.33333333333337</v>
      </c>
      <c r="H339" s="12">
        <f t="shared" si="20"/>
        <v>1166.6666666666667</v>
      </c>
      <c r="I339" t="s">
        <v>209</v>
      </c>
      <c r="L339" t="str">
        <f>IF(ISNUMBER(MATCH(I339,dim_produits!$C:$C,0)),"OK","MANQUANT")</f>
        <v>OK</v>
      </c>
    </row>
    <row r="340" spans="1:12">
      <c r="A340">
        <f t="shared" si="21"/>
        <v>339</v>
      </c>
      <c r="B340">
        <v>23</v>
      </c>
      <c r="C340">
        <f>IFERROR(_xlfn.XLOOKUP(I340,dim_produits!$C:$C,dim_produits!$A:$A,""),"")</f>
        <v>33</v>
      </c>
      <c r="D340">
        <v>1</v>
      </c>
      <c r="E340" s="12">
        <v>400</v>
      </c>
      <c r="F340" s="12">
        <f t="shared" si="19"/>
        <v>400</v>
      </c>
      <c r="G340" s="12">
        <f>_xlfn.XLOOKUP(I340,dim_lignes_achat!$L:$L,dim_lignes_achat!$H:$H,"Nicht gefunden",0)</f>
        <v>225</v>
      </c>
      <c r="H340" s="12">
        <f t="shared" si="20"/>
        <v>225</v>
      </c>
      <c r="I340" t="s">
        <v>212</v>
      </c>
      <c r="L340" t="str">
        <f>IF(ISNUMBER(MATCH(I340,dim_produits!$C:$C,0)),"OK","MANQUANT")</f>
        <v>OK</v>
      </c>
    </row>
    <row r="341" spans="1:12">
      <c r="A341">
        <f t="shared" si="21"/>
        <v>340</v>
      </c>
      <c r="B341">
        <v>23</v>
      </c>
      <c r="C341">
        <f>IFERROR(_xlfn.XLOOKUP(I341,dim_produits!$C:$C,dim_produits!$A:$A,""),"")</f>
        <v>36</v>
      </c>
      <c r="D341">
        <v>1</v>
      </c>
      <c r="E341" s="12">
        <v>300</v>
      </c>
      <c r="F341" s="12">
        <f t="shared" si="19"/>
        <v>300</v>
      </c>
      <c r="G341" s="12">
        <f>_xlfn.XLOOKUP(I341,dim_lignes_achat!$L:$L,dim_lignes_achat!$H:$H,"Nicht gefunden",0)</f>
        <v>200</v>
      </c>
      <c r="H341" s="12">
        <f t="shared" si="20"/>
        <v>200</v>
      </c>
      <c r="I341" t="s">
        <v>215</v>
      </c>
      <c r="L341" t="str">
        <f>IF(ISNUMBER(MATCH(I341,dim_produits!$C:$C,0)),"OK","MANQUANT")</f>
        <v>OK</v>
      </c>
    </row>
    <row r="342" spans="1:12">
      <c r="A342">
        <f t="shared" si="21"/>
        <v>341</v>
      </c>
      <c r="B342">
        <v>23</v>
      </c>
      <c r="C342">
        <f>IFERROR(_xlfn.XLOOKUP(I342,dim_produits!$C:$C,dim_produits!$A:$A,""),"")</f>
        <v>16</v>
      </c>
      <c r="D342">
        <v>3</v>
      </c>
      <c r="E342" s="12">
        <v>750</v>
      </c>
      <c r="F342" s="12">
        <f t="shared" si="19"/>
        <v>2250</v>
      </c>
      <c r="G342" s="12">
        <f>_xlfn.XLOOKUP(I342,dim_lignes_achat!$L:$L,dim_lignes_achat!$H:$H,"Nicht gefunden",0)</f>
        <v>650</v>
      </c>
      <c r="H342" s="12">
        <f t="shared" si="20"/>
        <v>1950</v>
      </c>
      <c r="I342" t="s">
        <v>419</v>
      </c>
      <c r="L342" t="str">
        <f>IF(ISNUMBER(MATCH(I342,dim_produits!$C:$C,0)),"OK","MANQUANT")</f>
        <v>OK</v>
      </c>
    </row>
    <row r="343" spans="1:12">
      <c r="A343">
        <f t="shared" si="21"/>
        <v>342</v>
      </c>
      <c r="B343">
        <v>23</v>
      </c>
      <c r="C343">
        <f>IFERROR(_xlfn.XLOOKUP(I343,dim_produits!$C:$C,dim_produits!$A:$A,""),"")</f>
        <v>2</v>
      </c>
      <c r="D343">
        <v>1</v>
      </c>
      <c r="E343" s="12">
        <v>50</v>
      </c>
      <c r="F343" s="12">
        <f t="shared" si="19"/>
        <v>50</v>
      </c>
      <c r="G343" s="12">
        <f>_xlfn.XLOOKUP(I343,dim_lignes_achat!$L:$L,dim_lignes_achat!$H:$H,"Nicht gefunden",0)</f>
        <v>18.75</v>
      </c>
      <c r="H343" s="12">
        <f t="shared" si="20"/>
        <v>18.75</v>
      </c>
      <c r="I343" t="s">
        <v>165</v>
      </c>
      <c r="L343" t="str">
        <f>IF(ISNUMBER(MATCH(I343,dim_produits!$C:$C,0)),"OK","MANQUANT")</f>
        <v>OK</v>
      </c>
    </row>
    <row r="344" spans="1:12">
      <c r="A344">
        <f t="shared" si="21"/>
        <v>343</v>
      </c>
      <c r="B344">
        <v>23</v>
      </c>
      <c r="C344">
        <f>IFERROR(_xlfn.XLOOKUP(I344,dim_produits!$C:$C,dim_produits!$A:$A,""),"")</f>
        <v>14</v>
      </c>
      <c r="D344">
        <v>1</v>
      </c>
      <c r="E344" s="12">
        <v>750</v>
      </c>
      <c r="F344" s="12">
        <f t="shared" si="19"/>
        <v>750</v>
      </c>
      <c r="G344" s="12">
        <f>_xlfn.XLOOKUP(I344,dim_lignes_achat!$L:$L,dim_lignes_achat!$H:$H,"Nicht gefunden",0)</f>
        <v>554.16666666666663</v>
      </c>
      <c r="H344" s="12">
        <f t="shared" si="20"/>
        <v>554.16666666666663</v>
      </c>
      <c r="I344" t="s">
        <v>373</v>
      </c>
      <c r="L344" t="str">
        <f>IF(ISNUMBER(MATCH(I344,dim_produits!$C:$C,0)),"OK","MANQUANT")</f>
        <v>OK</v>
      </c>
    </row>
    <row r="345" spans="1:12">
      <c r="A345">
        <f t="shared" si="21"/>
        <v>344</v>
      </c>
      <c r="B345">
        <v>23</v>
      </c>
      <c r="C345">
        <f>IFERROR(_xlfn.XLOOKUP(I345,dim_produits!$C:$C,dim_produits!$A:$A,""),"")</f>
        <v>72</v>
      </c>
      <c r="D345">
        <v>1</v>
      </c>
      <c r="E345" s="12">
        <v>500</v>
      </c>
      <c r="F345" s="12">
        <f t="shared" si="19"/>
        <v>500</v>
      </c>
      <c r="G345" s="12">
        <f>_xlfn.XLOOKUP(I345,dim_lignes_achat!$L:$L,dim_lignes_achat!$H:$H,"Nicht gefunden",0)</f>
        <v>416.66666666666669</v>
      </c>
      <c r="H345" s="12">
        <f t="shared" si="20"/>
        <v>416.66666666666669</v>
      </c>
      <c r="I345" t="s">
        <v>195</v>
      </c>
      <c r="L345" t="str">
        <f>IF(ISNUMBER(MATCH(I345,dim_produits!$C:$C,0)),"OK","MANQUANT")</f>
        <v>OK</v>
      </c>
    </row>
    <row r="346" spans="1:12">
      <c r="A346">
        <f t="shared" si="21"/>
        <v>345</v>
      </c>
      <c r="B346">
        <v>23</v>
      </c>
      <c r="C346">
        <f>IFERROR(_xlfn.XLOOKUP(I346,dim_produits!$C:$C,dim_produits!$A:$A,""),"")</f>
        <v>28</v>
      </c>
      <c r="D346">
        <v>13</v>
      </c>
      <c r="E346" s="12">
        <v>25</v>
      </c>
      <c r="F346" s="12">
        <f t="shared" si="19"/>
        <v>325</v>
      </c>
      <c r="G346" s="12">
        <f>_xlfn.XLOOKUP(I346,dim_lignes_achat!$L:$L,dim_lignes_achat!$H:$H,"Nicht gefunden",0)</f>
        <v>13.26530612244898</v>
      </c>
      <c r="H346" s="12">
        <f t="shared" si="20"/>
        <v>172.44897959183675</v>
      </c>
      <c r="I346" t="s">
        <v>267</v>
      </c>
      <c r="L346" t="str">
        <f>IF(ISNUMBER(MATCH(I346,dim_produits!$C:$C,0)),"OK","MANQUANT")</f>
        <v>OK</v>
      </c>
    </row>
    <row r="347" spans="1:12">
      <c r="A347">
        <f t="shared" si="21"/>
        <v>346</v>
      </c>
      <c r="B347">
        <v>23</v>
      </c>
      <c r="C347">
        <f>IFERROR(_xlfn.XLOOKUP(I347,dim_produits!$C:$C,dim_produits!$A:$A,""),"")</f>
        <v>75</v>
      </c>
      <c r="D347">
        <v>1</v>
      </c>
      <c r="E347" s="12">
        <v>800</v>
      </c>
      <c r="F347" s="12">
        <f t="shared" si="19"/>
        <v>800</v>
      </c>
      <c r="G347" s="12">
        <f>_xlfn.XLOOKUP(I347,dim_lignes_achat!$L:$L,dim_lignes_achat!$H:$H,"Nicht gefunden",0)</f>
        <v>650</v>
      </c>
      <c r="H347" s="12">
        <f t="shared" si="20"/>
        <v>650</v>
      </c>
      <c r="I347" t="s">
        <v>199</v>
      </c>
      <c r="L347" t="str">
        <f>IF(ISNUMBER(MATCH(I347,dim_produits!$C:$C,0)),"OK","MANQUANT")</f>
        <v>OK</v>
      </c>
    </row>
    <row r="348" spans="1:12">
      <c r="A348">
        <f t="shared" si="21"/>
        <v>347</v>
      </c>
      <c r="B348">
        <v>23</v>
      </c>
      <c r="C348">
        <f>IFERROR(_xlfn.XLOOKUP(I348,dim_produits!$C:$C,dim_produits!$A:$A,""),"")</f>
        <v>99</v>
      </c>
      <c r="D348">
        <v>6</v>
      </c>
      <c r="E348" s="12">
        <v>25</v>
      </c>
      <c r="F348" s="12">
        <f t="shared" si="19"/>
        <v>150</v>
      </c>
      <c r="G348" s="12">
        <f>_xlfn.XLOOKUP(I348,dim_lignes_achat!$L:$L,dim_lignes_achat!$H:$H,"Nicht gefunden",0)</f>
        <v>20</v>
      </c>
      <c r="H348" s="12">
        <f t="shared" si="20"/>
        <v>120</v>
      </c>
      <c r="I348" t="s">
        <v>163</v>
      </c>
      <c r="L348" t="str">
        <f>IF(ISNUMBER(MATCH(I348,dim_produits!$C:$C,0)),"OK","MANQUANT")</f>
        <v>OK</v>
      </c>
    </row>
    <row r="349" spans="1:12">
      <c r="A349">
        <f t="shared" si="21"/>
        <v>348</v>
      </c>
      <c r="B349">
        <v>23</v>
      </c>
      <c r="C349">
        <f>IFERROR(_xlfn.XLOOKUP(I349,dim_produits!$C:$C,dim_produits!$A:$A,""),"")</f>
        <v>29</v>
      </c>
      <c r="D349">
        <v>1</v>
      </c>
      <c r="E349" s="12">
        <v>500</v>
      </c>
      <c r="F349" s="12">
        <f t="shared" si="19"/>
        <v>500</v>
      </c>
      <c r="G349" s="12">
        <f>_xlfn.XLOOKUP(I349,dim_lignes_achat!$L:$L,dim_lignes_achat!$H:$H,"Nicht gefunden",0)</f>
        <v>370</v>
      </c>
      <c r="H349" s="12">
        <f t="shared" si="20"/>
        <v>370</v>
      </c>
      <c r="I349" t="s">
        <v>184</v>
      </c>
      <c r="L349" t="str">
        <f>IF(ISNUMBER(MATCH(I349,dim_produits!$C:$C,0)),"OK","MANQUANT")</f>
        <v>OK</v>
      </c>
    </row>
    <row r="350" spans="1:12">
      <c r="A350">
        <f t="shared" si="21"/>
        <v>349</v>
      </c>
      <c r="B350">
        <v>23</v>
      </c>
      <c r="C350">
        <f>IFERROR(_xlfn.XLOOKUP(I350,dim_produits!$C:$C,dim_produits!$A:$A,""),"")</f>
        <v>63</v>
      </c>
      <c r="D350">
        <v>1</v>
      </c>
      <c r="E350" s="12">
        <v>100</v>
      </c>
      <c r="F350" s="12">
        <f t="shared" si="19"/>
        <v>100</v>
      </c>
      <c r="G350" s="12">
        <f>_xlfn.XLOOKUP(I350,dim_lignes_achat!$L:$L,dim_lignes_achat!$H:$H,"Nicht gefunden",0)</f>
        <v>70.833333333333329</v>
      </c>
      <c r="H350" s="12">
        <f t="shared" si="20"/>
        <v>70.833333333333329</v>
      </c>
      <c r="I350" t="s">
        <v>161</v>
      </c>
      <c r="L350" t="str">
        <f>IF(ISNUMBER(MATCH(I350,dim_produits!$C:$C,0)),"OK","MANQUANT")</f>
        <v>OK</v>
      </c>
    </row>
    <row r="351" spans="1:12">
      <c r="A351">
        <f t="shared" si="21"/>
        <v>350</v>
      </c>
      <c r="B351">
        <v>23</v>
      </c>
      <c r="C351">
        <f>IFERROR(_xlfn.XLOOKUP(I351,dim_produits!$C:$C,dim_produits!$A:$A,""),"")</f>
        <v>77</v>
      </c>
      <c r="D351">
        <v>2</v>
      </c>
      <c r="E351" s="12">
        <v>700</v>
      </c>
      <c r="F351" s="12">
        <f t="shared" si="19"/>
        <v>1400</v>
      </c>
      <c r="G351" s="12">
        <f>_xlfn.XLOOKUP(I351,dim_lignes_achat!$L:$L,dim_lignes_achat!$H:$H,"Nicht gefunden",0)</f>
        <v>550</v>
      </c>
      <c r="H351" s="12">
        <f t="shared" si="20"/>
        <v>1100</v>
      </c>
      <c r="I351" t="s">
        <v>202</v>
      </c>
      <c r="L351" t="str">
        <f>IF(ISNUMBER(MATCH(I351,dim_produits!$C:$C,0)),"OK","MANQUANT")</f>
        <v>OK</v>
      </c>
    </row>
    <row r="352" spans="1:12">
      <c r="A352">
        <f t="shared" si="21"/>
        <v>351</v>
      </c>
      <c r="B352">
        <v>24</v>
      </c>
      <c r="C352">
        <f>IFERROR(_xlfn.XLOOKUP(I352,dim_produits!$C:$C,dim_produits!$A:$A,""),"")</f>
        <v>28</v>
      </c>
      <c r="D352">
        <v>3</v>
      </c>
      <c r="E352" s="12">
        <v>25</v>
      </c>
      <c r="F352" s="12">
        <f t="shared" si="19"/>
        <v>75</v>
      </c>
      <c r="G352" s="12">
        <f>_xlfn.XLOOKUP(I352,dim_lignes_achat!$L:$L,dim_lignes_achat!$H:$H,"Nicht gefunden",0)</f>
        <v>13.26530612244898</v>
      </c>
      <c r="H352" s="12">
        <f t="shared" ref="H352:H372" si="22">IF(ISNUMBER(G352),G352*D352,"")</f>
        <v>39.795918367346943</v>
      </c>
      <c r="I352" t="s">
        <v>267</v>
      </c>
      <c r="L352" t="str">
        <f>IF(ISNUMBER(MATCH(I352,dim_produits!$C:$C,0)),"OK","MANQUANT")</f>
        <v>OK</v>
      </c>
    </row>
    <row r="353" spans="1:12">
      <c r="A353">
        <f t="shared" si="21"/>
        <v>352</v>
      </c>
      <c r="B353">
        <v>24</v>
      </c>
      <c r="C353">
        <f>IFERROR(_xlfn.XLOOKUP(I353,dim_produits!$C:$C,dim_produits!$A:$A,""),"")</f>
        <v>45</v>
      </c>
      <c r="D353">
        <v>4</v>
      </c>
      <c r="E353" s="12">
        <v>50</v>
      </c>
      <c r="F353" s="12">
        <f t="shared" si="19"/>
        <v>200</v>
      </c>
      <c r="G353" s="12">
        <f>_xlfn.XLOOKUP(I353,dim_lignes_achat!$L:$L,dim_lignes_achat!$H:$H,"Nicht gefunden",0)</f>
        <v>24</v>
      </c>
      <c r="H353" s="12">
        <f t="shared" si="22"/>
        <v>96</v>
      </c>
      <c r="I353" t="s">
        <v>164</v>
      </c>
      <c r="L353" t="str">
        <f>IF(ISNUMBER(MATCH(I353,dim_produits!$C:$C,0)),"OK","MANQUANT")</f>
        <v>OK</v>
      </c>
    </row>
    <row r="354" spans="1:12">
      <c r="A354">
        <f t="shared" si="21"/>
        <v>353</v>
      </c>
      <c r="B354">
        <v>24</v>
      </c>
      <c r="C354">
        <f>IFERROR(_xlfn.XLOOKUP(I354,dim_produits!$C:$C,dim_produits!$A:$A,""),"")</f>
        <v>44</v>
      </c>
      <c r="D354">
        <v>1</v>
      </c>
      <c r="E354" s="12">
        <v>75</v>
      </c>
      <c r="F354" s="12">
        <f t="shared" si="19"/>
        <v>75</v>
      </c>
      <c r="G354" s="12">
        <f>_xlfn.XLOOKUP(I354,dim_lignes_achat!$L:$L,dim_lignes_achat!$H:$H,"Nicht gefunden",0)</f>
        <v>56.666666666666664</v>
      </c>
      <c r="H354" s="12">
        <f t="shared" si="22"/>
        <v>56.666666666666664</v>
      </c>
      <c r="I354" t="s">
        <v>162</v>
      </c>
      <c r="L354" t="str">
        <f>IF(ISNUMBER(MATCH(I354,dim_produits!$C:$C,0)),"OK","MANQUANT")</f>
        <v>OK</v>
      </c>
    </row>
    <row r="355" spans="1:12">
      <c r="A355">
        <f t="shared" si="21"/>
        <v>354</v>
      </c>
      <c r="B355">
        <v>24</v>
      </c>
      <c r="C355">
        <f>IFERROR(_xlfn.XLOOKUP(I355,dim_produits!$C:$C,dim_produits!$A:$A,""),"")</f>
        <v>9</v>
      </c>
      <c r="D355">
        <v>23</v>
      </c>
      <c r="E355" s="12">
        <v>750</v>
      </c>
      <c r="F355" s="12">
        <f t="shared" si="19"/>
        <v>17250</v>
      </c>
      <c r="G355" s="12">
        <f>_xlfn.XLOOKUP(I355,dim_lignes_achat!$L:$L,dim_lignes_achat!$H:$H,"Nicht gefunden",0)</f>
        <v>650</v>
      </c>
      <c r="H355" s="12">
        <f t="shared" si="22"/>
        <v>14950</v>
      </c>
      <c r="I355" t="s">
        <v>222</v>
      </c>
      <c r="L355" t="str">
        <f>IF(ISNUMBER(MATCH(I355,dim_produits!$C:$C,0)),"OK","MANQUANT")</f>
        <v>OK</v>
      </c>
    </row>
    <row r="356" spans="1:12">
      <c r="A356">
        <f t="shared" si="21"/>
        <v>355</v>
      </c>
      <c r="B356">
        <v>24</v>
      </c>
      <c r="C356">
        <f>IFERROR(_xlfn.XLOOKUP(I356,dim_produits!$C:$C,dim_produits!$A:$A,""),"")</f>
        <v>12</v>
      </c>
      <c r="D356">
        <v>1</v>
      </c>
      <c r="E356" s="12">
        <v>750</v>
      </c>
      <c r="F356" s="12">
        <f t="shared" si="19"/>
        <v>750</v>
      </c>
      <c r="G356" s="12">
        <f>_xlfn.XLOOKUP(I356,dim_lignes_achat!$L:$L,dim_lignes_achat!$H:$H,"Nicht gefunden",0)</f>
        <v>650</v>
      </c>
      <c r="H356" s="12">
        <f t="shared" si="22"/>
        <v>650</v>
      </c>
      <c r="I356" t="s">
        <v>229</v>
      </c>
      <c r="L356" t="str">
        <f>IF(ISNUMBER(MATCH(I356,dim_produits!$C:$C,0)),"OK","MANQUANT")</f>
        <v>OK</v>
      </c>
    </row>
    <row r="357" spans="1:12">
      <c r="A357">
        <f t="shared" si="21"/>
        <v>356</v>
      </c>
      <c r="B357">
        <v>24</v>
      </c>
      <c r="C357">
        <f>IFERROR(_xlfn.XLOOKUP(I357,dim_produits!$C:$C,dim_produits!$A:$A,""),"")</f>
        <v>16</v>
      </c>
      <c r="D357">
        <v>7</v>
      </c>
      <c r="E357" s="12">
        <v>750</v>
      </c>
      <c r="F357" s="12">
        <f t="shared" si="19"/>
        <v>5250</v>
      </c>
      <c r="G357" s="12">
        <f>_xlfn.XLOOKUP(I357,dim_lignes_achat!$L:$L,dim_lignes_achat!$H:$H,"Nicht gefunden",0)</f>
        <v>650</v>
      </c>
      <c r="H357" s="12">
        <f t="shared" si="22"/>
        <v>4550</v>
      </c>
      <c r="I357" t="s">
        <v>419</v>
      </c>
      <c r="L357" t="str">
        <f>IF(ISNUMBER(MATCH(I357,dim_produits!$C:$C,0)),"OK","MANQUANT")</f>
        <v>OK</v>
      </c>
    </row>
    <row r="358" spans="1:12">
      <c r="A358">
        <f t="shared" si="21"/>
        <v>357</v>
      </c>
      <c r="B358">
        <v>24</v>
      </c>
      <c r="C358">
        <f>IFERROR(_xlfn.XLOOKUP(I358,dim_produits!$C:$C,dim_produits!$A:$A,""),"")</f>
        <v>11</v>
      </c>
      <c r="D358">
        <v>8</v>
      </c>
      <c r="E358" s="12">
        <v>750</v>
      </c>
      <c r="F358" s="12">
        <f t="shared" si="19"/>
        <v>6000</v>
      </c>
      <c r="G358" s="12">
        <f>_xlfn.XLOOKUP(I358,dim_lignes_achat!$L:$L,dim_lignes_achat!$H:$H,"Nicht gefunden",0)</f>
        <v>650</v>
      </c>
      <c r="H358" s="12">
        <f t="shared" si="22"/>
        <v>5200</v>
      </c>
      <c r="I358" t="s">
        <v>223</v>
      </c>
      <c r="L358" t="str">
        <f>IF(ISNUMBER(MATCH(I358,dim_produits!$C:$C,0)),"OK","MANQUANT")</f>
        <v>OK</v>
      </c>
    </row>
    <row r="359" spans="1:12">
      <c r="A359">
        <f t="shared" si="21"/>
        <v>358</v>
      </c>
      <c r="B359">
        <v>24</v>
      </c>
      <c r="C359">
        <f>IFERROR(_xlfn.XLOOKUP(I359,dim_produits!$C:$C,dim_produits!$A:$A,""),"")</f>
        <v>73</v>
      </c>
      <c r="D359">
        <v>2</v>
      </c>
      <c r="E359" s="12">
        <v>500</v>
      </c>
      <c r="F359" s="12">
        <f t="shared" si="19"/>
        <v>1000</v>
      </c>
      <c r="G359" s="12">
        <f>_xlfn.XLOOKUP(I359,dim_lignes_achat!$L:$L,dim_lignes_achat!$H:$H,"Nicht gefunden",0)</f>
        <v>366.66</v>
      </c>
      <c r="H359" s="12">
        <f t="shared" si="22"/>
        <v>733.32</v>
      </c>
      <c r="I359" t="s">
        <v>196</v>
      </c>
      <c r="L359" t="str">
        <f>IF(ISNUMBER(MATCH(I359,dim_produits!$C:$C,0)),"OK","MANQUANT")</f>
        <v>OK</v>
      </c>
    </row>
    <row r="360" spans="1:12">
      <c r="A360">
        <f t="shared" si="21"/>
        <v>359</v>
      </c>
      <c r="B360">
        <v>24</v>
      </c>
      <c r="C360">
        <f>IFERROR(_xlfn.XLOOKUP(I360,dim_produits!$C:$C,dim_produits!$A:$A,""),"")</f>
        <v>81</v>
      </c>
      <c r="D360">
        <v>2</v>
      </c>
      <c r="E360" s="12">
        <v>500</v>
      </c>
      <c r="F360" s="12">
        <f t="shared" si="19"/>
        <v>1000</v>
      </c>
      <c r="G360" s="12">
        <f>_xlfn.XLOOKUP(I360,dim_lignes_achat!$L:$L,dim_lignes_achat!$H:$H,"Nicht gefunden",0)</f>
        <v>241.66</v>
      </c>
      <c r="H360" s="12">
        <f t="shared" si="22"/>
        <v>483.32</v>
      </c>
      <c r="I360" t="s">
        <v>206</v>
      </c>
      <c r="L360" t="str">
        <f>IF(ISNUMBER(MATCH(I360,dim_produits!$C:$C,0)),"OK","MANQUANT")</f>
        <v>OK</v>
      </c>
    </row>
    <row r="361" spans="1:12">
      <c r="A361">
        <f t="shared" si="21"/>
        <v>360</v>
      </c>
      <c r="B361">
        <v>24</v>
      </c>
      <c r="C361">
        <f>IFERROR(_xlfn.XLOOKUP(I361,dim_produits!$C:$C,dim_produits!$A:$A,""),"")</f>
        <v>33</v>
      </c>
      <c r="D361">
        <v>1</v>
      </c>
      <c r="E361" s="12">
        <v>400</v>
      </c>
      <c r="F361" s="12">
        <f t="shared" si="19"/>
        <v>400</v>
      </c>
      <c r="G361" s="12">
        <f>_xlfn.XLOOKUP(I361,dim_lignes_achat!$L:$L,dim_lignes_achat!$H:$H,"Nicht gefunden",0)</f>
        <v>225</v>
      </c>
      <c r="H361" s="12">
        <f t="shared" si="22"/>
        <v>225</v>
      </c>
      <c r="I361" t="s">
        <v>212</v>
      </c>
      <c r="L361" t="str">
        <f>IF(ISNUMBER(MATCH(I361,dim_produits!$C:$C,0)),"OK","MANQUANT")</f>
        <v>OK</v>
      </c>
    </row>
    <row r="362" spans="1:12">
      <c r="A362">
        <f t="shared" si="21"/>
        <v>361</v>
      </c>
      <c r="B362">
        <v>24</v>
      </c>
      <c r="C362">
        <f>IFERROR(_xlfn.XLOOKUP(I362,dim_produits!$C:$C,dim_produits!$A:$A,""),"")</f>
        <v>14</v>
      </c>
      <c r="D362">
        <v>1</v>
      </c>
      <c r="E362" s="12">
        <v>750</v>
      </c>
      <c r="F362" s="12">
        <f t="shared" si="19"/>
        <v>750</v>
      </c>
      <c r="G362" s="12">
        <f>_xlfn.XLOOKUP(I362,dim_lignes_achat!$L:$L,dim_lignes_achat!$H:$H,"Nicht gefunden",0)</f>
        <v>554.16666666666663</v>
      </c>
      <c r="H362" s="12">
        <f t="shared" si="22"/>
        <v>554.16666666666663</v>
      </c>
      <c r="I362" t="s">
        <v>373</v>
      </c>
      <c r="L362" t="str">
        <f>IF(ISNUMBER(MATCH(I362,dim_produits!$C:$C,0)),"OK","MANQUANT")</f>
        <v>OK</v>
      </c>
    </row>
    <row r="363" spans="1:12">
      <c r="A363">
        <f t="shared" si="21"/>
        <v>362</v>
      </c>
      <c r="B363">
        <v>24</v>
      </c>
      <c r="C363">
        <f>IFERROR(_xlfn.XLOOKUP(I363,dim_produits!$C:$C,dim_produits!$A:$A,""),"")</f>
        <v>84</v>
      </c>
      <c r="D363">
        <v>4</v>
      </c>
      <c r="E363" s="12">
        <v>700</v>
      </c>
      <c r="F363" s="12">
        <f t="shared" si="19"/>
        <v>2800</v>
      </c>
      <c r="G363" s="12">
        <f>_xlfn.XLOOKUP(I363,dim_lignes_achat!$L:$L,dim_lignes_achat!$H:$H,"Nicht gefunden",0)</f>
        <v>583.33333333333337</v>
      </c>
      <c r="H363" s="12">
        <f t="shared" si="22"/>
        <v>2333.3333333333335</v>
      </c>
      <c r="I363" t="s">
        <v>209</v>
      </c>
      <c r="L363" t="str">
        <f>IF(ISNUMBER(MATCH(I363,dim_produits!$C:$C,0)),"OK","MANQUANT")</f>
        <v>OK</v>
      </c>
    </row>
    <row r="364" spans="1:12">
      <c r="A364">
        <f t="shared" si="21"/>
        <v>363</v>
      </c>
      <c r="B364">
        <v>24</v>
      </c>
      <c r="C364">
        <f>IFERROR(_xlfn.XLOOKUP(I364,dim_produits!$C:$C,dim_produits!$A:$A,""),"")</f>
        <v>4</v>
      </c>
      <c r="D364">
        <v>3</v>
      </c>
      <c r="E364" s="12">
        <v>50</v>
      </c>
      <c r="F364" s="12">
        <f t="shared" ref="F364:F372" si="23">D364*E364</f>
        <v>150</v>
      </c>
      <c r="G364" s="12">
        <f>_xlfn.XLOOKUP(I364,dim_lignes_achat!$L:$L,dim_lignes_achat!$H:$H,"Nicht gefunden",0)</f>
        <v>39.166666666666664</v>
      </c>
      <c r="H364" s="12">
        <f t="shared" si="22"/>
        <v>117.5</v>
      </c>
      <c r="I364" t="s">
        <v>168</v>
      </c>
      <c r="L364" t="str">
        <f>IF(ISNUMBER(MATCH(I364,dim_produits!$C:$C,0)),"OK","MANQUANT")</f>
        <v>OK</v>
      </c>
    </row>
    <row r="365" spans="1:12">
      <c r="A365">
        <f t="shared" si="21"/>
        <v>364</v>
      </c>
      <c r="B365">
        <v>24</v>
      </c>
      <c r="C365">
        <f>IFERROR(_xlfn.XLOOKUP(I365,dim_produits!$C:$C,dim_produits!$A:$A,""),"")</f>
        <v>10</v>
      </c>
      <c r="D365">
        <v>4</v>
      </c>
      <c r="E365" s="12">
        <v>750</v>
      </c>
      <c r="F365" s="12">
        <f t="shared" si="23"/>
        <v>3000</v>
      </c>
      <c r="G365" s="12">
        <f>_xlfn.XLOOKUP(I365,dim_lignes_achat!$L:$L,dim_lignes_achat!$H:$H,"Nicht gefunden",0)</f>
        <v>595.83333333333337</v>
      </c>
      <c r="H365" s="12">
        <f t="shared" si="22"/>
        <v>2383.3333333333335</v>
      </c>
      <c r="I365" t="s">
        <v>227</v>
      </c>
      <c r="L365" t="str">
        <f>IF(ISNUMBER(MATCH(I365,dim_produits!$C:$C,0)),"OK","MANQUANT")</f>
        <v>OK</v>
      </c>
    </row>
    <row r="366" spans="1:12">
      <c r="A366">
        <f t="shared" si="21"/>
        <v>365</v>
      </c>
      <c r="B366">
        <v>24</v>
      </c>
      <c r="C366">
        <f>IFERROR(_xlfn.XLOOKUP(I366,dim_produits!$C:$C,dim_produits!$A:$A,""),"")</f>
        <v>15</v>
      </c>
      <c r="D366">
        <v>4</v>
      </c>
      <c r="E366" s="12">
        <v>1000</v>
      </c>
      <c r="F366" s="12">
        <f t="shared" si="23"/>
        <v>4000</v>
      </c>
      <c r="G366" s="12">
        <f>_xlfn.XLOOKUP(I366,dim_lignes_achat!$L:$L,dim_lignes_achat!$H:$H,"Nicht gefunden",0)</f>
        <v>741.66666666666663</v>
      </c>
      <c r="H366" s="12">
        <f t="shared" si="22"/>
        <v>2966.6666666666665</v>
      </c>
      <c r="I366" t="s">
        <v>230</v>
      </c>
      <c r="L366" t="str">
        <f>IF(ISNUMBER(MATCH(I366,dim_produits!$C:$C,0)),"OK","MANQUANT")</f>
        <v>OK</v>
      </c>
    </row>
    <row r="367" spans="1:12">
      <c r="A367">
        <f t="shared" si="21"/>
        <v>366</v>
      </c>
      <c r="B367">
        <v>24</v>
      </c>
      <c r="C367">
        <f>IFERROR(_xlfn.XLOOKUP(I367,dim_produits!$C:$C,dim_produits!$A:$A,""),"")</f>
        <v>7</v>
      </c>
      <c r="D367">
        <v>9</v>
      </c>
      <c r="E367" s="12">
        <v>750</v>
      </c>
      <c r="F367" s="12">
        <f t="shared" si="23"/>
        <v>6750</v>
      </c>
      <c r="G367" s="12">
        <f>_xlfn.XLOOKUP(I367,dim_lignes_achat!$L:$L,dim_lignes_achat!$H:$H,"Nicht gefunden",0)</f>
        <v>600</v>
      </c>
      <c r="H367" s="12">
        <f t="shared" ref="H367" si="24">IF(ISNUMBER(G367),G367*D367,"")</f>
        <v>5400</v>
      </c>
      <c r="I367" t="s">
        <v>220</v>
      </c>
      <c r="L367" t="str">
        <f>IF(ISNUMBER(MATCH(I367,dim_produits!$C:$C,0)),"OK","MANQUANT")</f>
        <v>OK</v>
      </c>
    </row>
    <row r="368" spans="1:12">
      <c r="A368">
        <f t="shared" si="21"/>
        <v>367</v>
      </c>
      <c r="B368">
        <v>24</v>
      </c>
      <c r="C368">
        <f>IFERROR(_xlfn.XLOOKUP(I368,dim_produits!$C:$C,dim_produits!$A:$A,""),"")</f>
        <v>55</v>
      </c>
      <c r="D368">
        <v>2</v>
      </c>
      <c r="E368" s="12">
        <v>800</v>
      </c>
      <c r="F368" s="12">
        <f t="shared" si="23"/>
        <v>1600</v>
      </c>
      <c r="G368" s="12">
        <f>_xlfn.XLOOKUP(I368,dim_lignes_achat!$L:$L,dim_lignes_achat!$H:$H,"Nicht gefunden",0)</f>
        <v>648.79999999999995</v>
      </c>
      <c r="H368" s="12">
        <f t="shared" si="22"/>
        <v>1297.5999999999999</v>
      </c>
      <c r="I368" t="s">
        <v>369</v>
      </c>
      <c r="L368" t="str">
        <f>IF(ISNUMBER(MATCH(I368,dim_produits!$C:$C,0)),"OK","MANQUANT")</f>
        <v>OK</v>
      </c>
    </row>
    <row r="369" spans="1:12">
      <c r="A369">
        <f t="shared" si="21"/>
        <v>368</v>
      </c>
      <c r="B369">
        <v>24</v>
      </c>
      <c r="C369">
        <f>IFERROR(_xlfn.XLOOKUP(I369,dim_produits!$C:$C,dim_produits!$A:$A,""),"")</f>
        <v>24</v>
      </c>
      <c r="D369">
        <v>1</v>
      </c>
      <c r="E369" s="12">
        <v>500</v>
      </c>
      <c r="F369" s="12">
        <f t="shared" si="23"/>
        <v>500</v>
      </c>
      <c r="G369" s="12">
        <f>_xlfn.XLOOKUP(I369,dim_lignes_achat!$L:$L,dim_lignes_achat!$H:$H,"Nicht gefunden",0)</f>
        <v>333.33333333333331</v>
      </c>
      <c r="H369" s="12">
        <f t="shared" si="22"/>
        <v>333.33333333333331</v>
      </c>
      <c r="I369" t="s">
        <v>191</v>
      </c>
      <c r="L369" t="str">
        <f>IF(ISNUMBER(MATCH(I369,dim_produits!$C:$C,0)),"OK","MANQUANT")</f>
        <v>OK</v>
      </c>
    </row>
    <row r="370" spans="1:12">
      <c r="A370">
        <f t="shared" si="21"/>
        <v>369</v>
      </c>
      <c r="B370">
        <v>24</v>
      </c>
      <c r="C370">
        <f>IFERROR(_xlfn.XLOOKUP(I370,dim_produits!$C:$C,dim_produits!$A:$A,""),"")</f>
        <v>75</v>
      </c>
      <c r="D370">
        <v>1</v>
      </c>
      <c r="E370" s="12">
        <v>800</v>
      </c>
      <c r="F370" s="12">
        <f t="shared" si="23"/>
        <v>800</v>
      </c>
      <c r="G370" s="12">
        <f>_xlfn.XLOOKUP(I370,dim_lignes_achat!$L:$L,dim_lignes_achat!$H:$H,"Nicht gefunden",0)</f>
        <v>650</v>
      </c>
      <c r="H370" s="12">
        <f t="shared" si="22"/>
        <v>650</v>
      </c>
      <c r="I370" t="s">
        <v>199</v>
      </c>
      <c r="L370" t="str">
        <f>IF(ISNUMBER(MATCH(I370,dim_produits!$C:$C,0)),"OK","MANQUANT")</f>
        <v>OK</v>
      </c>
    </row>
    <row r="371" spans="1:12">
      <c r="A371">
        <f t="shared" si="21"/>
        <v>370</v>
      </c>
      <c r="B371">
        <v>24</v>
      </c>
      <c r="C371">
        <f>IFERROR(_xlfn.XLOOKUP(I371,dim_produits!$C:$C,dim_produits!$A:$A,""),"")</f>
        <v>85</v>
      </c>
      <c r="D371">
        <v>2</v>
      </c>
      <c r="E371" s="12">
        <v>500</v>
      </c>
      <c r="F371" s="12">
        <f t="shared" si="23"/>
        <v>1000</v>
      </c>
      <c r="G371" s="12">
        <f>_xlfn.XLOOKUP(I371,dim_lignes_achat!$L:$L,dim_lignes_achat!$H:$H,"Nicht gefunden",0)</f>
        <v>391.66</v>
      </c>
      <c r="H371" s="12">
        <f t="shared" si="22"/>
        <v>783.32</v>
      </c>
      <c r="I371" t="s">
        <v>210</v>
      </c>
      <c r="L371" t="str">
        <f>IF(ISNUMBER(MATCH(I371,dim_produits!$C:$C,0)),"OK","MANQUANT")</f>
        <v>OK</v>
      </c>
    </row>
    <row r="372" spans="1:12">
      <c r="A372">
        <f t="shared" si="21"/>
        <v>371</v>
      </c>
      <c r="B372">
        <v>24</v>
      </c>
      <c r="C372">
        <f>IFERROR(_xlfn.XLOOKUP(I372,dim_produits!$C:$C,dim_produits!$A:$A,""),"")</f>
        <v>6</v>
      </c>
      <c r="D372">
        <v>2</v>
      </c>
      <c r="E372" s="12">
        <v>500</v>
      </c>
      <c r="F372" s="12">
        <f t="shared" si="23"/>
        <v>1000</v>
      </c>
      <c r="G372" s="12">
        <f>_xlfn.XLOOKUP(I372,dim_lignes_achat!$L:$L,dim_lignes_achat!$H:$H,"Nicht gefunden",0)</f>
        <v>379.99200000000002</v>
      </c>
      <c r="H372" s="12">
        <f t="shared" si="22"/>
        <v>759.98400000000004</v>
      </c>
      <c r="I372" t="s">
        <v>368</v>
      </c>
      <c r="L372" t="str">
        <f>IF(ISNUMBER(MATCH(I372,dim_produits!$C:$C,0)),"OK","MANQUANT")</f>
        <v>OK</v>
      </c>
    </row>
    <row r="373" spans="1:12">
      <c r="A373">
        <f t="shared" si="21"/>
        <v>372</v>
      </c>
      <c r="B373">
        <v>25</v>
      </c>
      <c r="C373">
        <f>IFERROR(_xlfn.XLOOKUP(I373,dim_produits!$C:$C,dim_produits!$A:$A,""),"")</f>
        <v>9</v>
      </c>
      <c r="D373">
        <v>42</v>
      </c>
      <c r="E373" s="12">
        <v>750</v>
      </c>
      <c r="F373" s="12">
        <f t="shared" ref="F373:F399" si="25">D373*E373</f>
        <v>31500</v>
      </c>
      <c r="G373" s="12">
        <f>_xlfn.XLOOKUP(I373,dim_lignes_achat!$L:$L,dim_lignes_achat!$H:$H,"Nicht gefunden",0)</f>
        <v>650</v>
      </c>
      <c r="H373" s="12">
        <f t="shared" ref="H373:H396" si="26">IF(ISNUMBER(G373),G373*D373,"")</f>
        <v>27300</v>
      </c>
      <c r="I373" t="s">
        <v>222</v>
      </c>
      <c r="L373" t="str">
        <f>IF(ISNUMBER(MATCH(I373,dim_produits!$C:$C,0)),"OK","MANQUANT")</f>
        <v>OK</v>
      </c>
    </row>
    <row r="374" spans="1:12">
      <c r="A374">
        <f t="shared" si="21"/>
        <v>373</v>
      </c>
      <c r="B374">
        <v>25</v>
      </c>
      <c r="C374">
        <f>IFERROR(_xlfn.XLOOKUP(I374,dim_produits!$C:$C,dim_produits!$A:$A,""),"")</f>
        <v>17</v>
      </c>
      <c r="D374">
        <v>5</v>
      </c>
      <c r="E374" s="12">
        <v>600</v>
      </c>
      <c r="F374" s="12">
        <f t="shared" si="25"/>
        <v>3000</v>
      </c>
      <c r="G374" s="12">
        <f>_xlfn.XLOOKUP(I374,dim_lignes_achat!$L:$L,dim_lignes_achat!$H:$H,"Nicht gefunden",0)</f>
        <v>450</v>
      </c>
      <c r="H374" s="12">
        <f t="shared" si="26"/>
        <v>2250</v>
      </c>
      <c r="I374" t="s">
        <v>225</v>
      </c>
      <c r="L374" t="str">
        <f>IF(ISNUMBER(MATCH(I374,dim_produits!$C:$C,0)),"OK","MANQUANT")</f>
        <v>OK</v>
      </c>
    </row>
    <row r="375" spans="1:12">
      <c r="A375">
        <f t="shared" si="21"/>
        <v>374</v>
      </c>
      <c r="B375">
        <v>25</v>
      </c>
      <c r="C375">
        <f>IFERROR(_xlfn.XLOOKUP(I375,dim_produits!$C:$C,dim_produits!$A:$A,""),"")</f>
        <v>45</v>
      </c>
      <c r="D375">
        <v>4</v>
      </c>
      <c r="E375" s="12">
        <v>50</v>
      </c>
      <c r="F375" s="12">
        <f t="shared" si="25"/>
        <v>200</v>
      </c>
      <c r="G375" s="12">
        <f>_xlfn.XLOOKUP(I375,dim_lignes_achat!$L:$L,dim_lignes_achat!$H:$H,"Nicht gefunden",0)</f>
        <v>24</v>
      </c>
      <c r="H375" s="12">
        <f t="shared" si="26"/>
        <v>96</v>
      </c>
      <c r="I375" t="s">
        <v>164</v>
      </c>
      <c r="L375" t="str">
        <f>IF(ISNUMBER(MATCH(I375,dim_produits!$C:$C,0)),"OK","MANQUANT")</f>
        <v>OK</v>
      </c>
    </row>
    <row r="376" spans="1:12">
      <c r="A376">
        <f t="shared" si="21"/>
        <v>375</v>
      </c>
      <c r="B376">
        <v>25</v>
      </c>
      <c r="C376">
        <f>IFERROR(_xlfn.XLOOKUP(I376,dim_produits!$C:$C,dim_produits!$A:$A,""),"")</f>
        <v>44</v>
      </c>
      <c r="D376">
        <v>1</v>
      </c>
      <c r="E376" s="12">
        <v>75</v>
      </c>
      <c r="F376" s="12">
        <f t="shared" si="25"/>
        <v>75</v>
      </c>
      <c r="G376" s="12">
        <f>_xlfn.XLOOKUP(I376,dim_lignes_achat!$L:$L,dim_lignes_achat!$H:$H,"Nicht gefunden",0)</f>
        <v>56.666666666666664</v>
      </c>
      <c r="H376" s="12">
        <f t="shared" si="26"/>
        <v>56.666666666666664</v>
      </c>
      <c r="I376" t="s">
        <v>162</v>
      </c>
      <c r="L376" t="str">
        <f>IF(ISNUMBER(MATCH(I376,dim_produits!$C:$C,0)),"OK","MANQUANT")</f>
        <v>OK</v>
      </c>
    </row>
    <row r="377" spans="1:12">
      <c r="A377">
        <f t="shared" si="21"/>
        <v>376</v>
      </c>
      <c r="B377">
        <v>25</v>
      </c>
      <c r="C377">
        <f>IFERROR(_xlfn.XLOOKUP(I377,dim_produits!$C:$C,dim_produits!$A:$A,""),"")</f>
        <v>41</v>
      </c>
      <c r="D377">
        <v>12</v>
      </c>
      <c r="E377" s="12">
        <v>50</v>
      </c>
      <c r="F377" s="12">
        <f t="shared" si="25"/>
        <v>600</v>
      </c>
      <c r="G377" s="12">
        <f>_xlfn.XLOOKUP(I377,dim_lignes_achat!$L:$L,dim_lignes_achat!$H:$H,"Nicht gefunden",0)</f>
        <v>37.333333333333336</v>
      </c>
      <c r="H377" s="12">
        <f t="shared" si="26"/>
        <v>448</v>
      </c>
      <c r="I377" t="s">
        <v>169</v>
      </c>
      <c r="L377" t="str">
        <f>IF(ISNUMBER(MATCH(I377,dim_produits!$C:$C,0)),"OK","MANQUANT")</f>
        <v>OK</v>
      </c>
    </row>
    <row r="378" spans="1:12">
      <c r="A378">
        <f t="shared" si="21"/>
        <v>377</v>
      </c>
      <c r="B378">
        <v>25</v>
      </c>
      <c r="C378">
        <f>IFERROR(_xlfn.XLOOKUP(I378,dim_produits!$C:$C,dim_produits!$A:$A,""),"")</f>
        <v>4</v>
      </c>
      <c r="D378">
        <v>6</v>
      </c>
      <c r="E378" s="12">
        <v>50</v>
      </c>
      <c r="F378" s="12">
        <f t="shared" si="25"/>
        <v>300</v>
      </c>
      <c r="G378" s="12">
        <f>_xlfn.XLOOKUP(I378,dim_lignes_achat!$L:$L,dim_lignes_achat!$H:$H,"Nicht gefunden",0)</f>
        <v>39.166666666666664</v>
      </c>
      <c r="H378" s="12">
        <f t="shared" si="26"/>
        <v>235</v>
      </c>
      <c r="I378" t="s">
        <v>168</v>
      </c>
      <c r="L378" t="str">
        <f>IF(ISNUMBER(MATCH(I378,dim_produits!$C:$C,0)),"OK","MANQUANT")</f>
        <v>OK</v>
      </c>
    </row>
    <row r="379" spans="1:12">
      <c r="A379">
        <f t="shared" si="21"/>
        <v>378</v>
      </c>
      <c r="B379">
        <v>25</v>
      </c>
      <c r="C379">
        <f>IFERROR(_xlfn.XLOOKUP(I379,dim_produits!$C:$C,dim_produits!$A:$A,""),"")</f>
        <v>73</v>
      </c>
      <c r="D379">
        <v>2</v>
      </c>
      <c r="E379" s="12">
        <v>500</v>
      </c>
      <c r="F379" s="12">
        <f t="shared" si="25"/>
        <v>1000</v>
      </c>
      <c r="G379" s="12">
        <f>_xlfn.XLOOKUP(I379,dim_lignes_achat!$L:$L,dim_lignes_achat!$H:$H,"Nicht gefunden",0)</f>
        <v>366.66</v>
      </c>
      <c r="H379" s="12">
        <f t="shared" si="26"/>
        <v>733.32</v>
      </c>
      <c r="I379" t="s">
        <v>196</v>
      </c>
      <c r="L379" t="str">
        <f>IF(ISNUMBER(MATCH(I379,dim_produits!$C:$C,0)),"OK","MANQUANT")</f>
        <v>OK</v>
      </c>
    </row>
    <row r="380" spans="1:12">
      <c r="A380">
        <f t="shared" si="21"/>
        <v>379</v>
      </c>
      <c r="B380">
        <v>25</v>
      </c>
      <c r="C380">
        <f>IFERROR(_xlfn.XLOOKUP(I380,dim_produits!$C:$C,dim_produits!$A:$A,""),"")</f>
        <v>7</v>
      </c>
      <c r="D380">
        <v>16</v>
      </c>
      <c r="E380" s="12">
        <v>750</v>
      </c>
      <c r="F380" s="12">
        <f t="shared" si="25"/>
        <v>12000</v>
      </c>
      <c r="G380" s="12">
        <f>_xlfn.XLOOKUP(I380,dim_lignes_achat!$L:$L,dim_lignes_achat!$H:$H,"Nicht gefunden",0)</f>
        <v>600</v>
      </c>
      <c r="H380" s="12">
        <f t="shared" si="26"/>
        <v>9600</v>
      </c>
      <c r="I380" t="s">
        <v>220</v>
      </c>
      <c r="L380" t="str">
        <f>IF(ISNUMBER(MATCH(I380,dim_produits!$C:$C,0)),"OK","MANQUANT")</f>
        <v>OK</v>
      </c>
    </row>
    <row r="381" spans="1:12">
      <c r="A381">
        <f t="shared" si="21"/>
        <v>380</v>
      </c>
      <c r="B381">
        <v>25</v>
      </c>
      <c r="C381">
        <f>IFERROR(_xlfn.XLOOKUP(I381,dim_produits!$C:$C,dim_produits!$A:$A,""),"")</f>
        <v>16</v>
      </c>
      <c r="D381">
        <v>16</v>
      </c>
      <c r="E381" s="12">
        <v>750</v>
      </c>
      <c r="F381" s="12">
        <f t="shared" si="25"/>
        <v>12000</v>
      </c>
      <c r="G381" s="12">
        <f>_xlfn.XLOOKUP(I381,dim_lignes_achat!$L:$L,dim_lignes_achat!$H:$H,"Nicht gefunden",0)</f>
        <v>650</v>
      </c>
      <c r="H381" s="12">
        <f t="shared" si="26"/>
        <v>10400</v>
      </c>
      <c r="I381" t="s">
        <v>419</v>
      </c>
      <c r="L381" t="str">
        <f>IF(ISNUMBER(MATCH(I381,dim_produits!$C:$C,0)),"OK","MANQUANT")</f>
        <v>OK</v>
      </c>
    </row>
    <row r="382" spans="1:12">
      <c r="A382">
        <f t="shared" si="21"/>
        <v>381</v>
      </c>
      <c r="B382">
        <v>25</v>
      </c>
      <c r="C382">
        <f>IFERROR(_xlfn.XLOOKUP(I382,dim_produits!$C:$C,dim_produits!$A:$A,""),"")</f>
        <v>2</v>
      </c>
      <c r="D382">
        <v>4</v>
      </c>
      <c r="E382" s="12">
        <v>50</v>
      </c>
      <c r="F382" s="12">
        <f t="shared" si="25"/>
        <v>200</v>
      </c>
      <c r="G382" s="12">
        <f>_xlfn.XLOOKUP(I382,dim_lignes_achat!$L:$L,dim_lignes_achat!$H:$H,"Nicht gefunden",0)</f>
        <v>18.75</v>
      </c>
      <c r="H382" s="12">
        <f t="shared" si="26"/>
        <v>75</v>
      </c>
      <c r="I382" t="s">
        <v>165</v>
      </c>
      <c r="L382" t="str">
        <f>IF(ISNUMBER(MATCH(I382,dim_produits!$C:$C,0)),"OK","MANQUANT")</f>
        <v>OK</v>
      </c>
    </row>
    <row r="383" spans="1:12">
      <c r="A383">
        <f t="shared" si="21"/>
        <v>382</v>
      </c>
      <c r="B383">
        <v>25</v>
      </c>
      <c r="C383">
        <f>IFERROR(_xlfn.XLOOKUP(I383,dim_produits!$C:$C,dim_produits!$A:$A,""),"")</f>
        <v>12</v>
      </c>
      <c r="D383">
        <v>16</v>
      </c>
      <c r="E383" s="12">
        <v>750</v>
      </c>
      <c r="F383" s="12">
        <f t="shared" si="25"/>
        <v>12000</v>
      </c>
      <c r="G383" s="12">
        <f>_xlfn.XLOOKUP(I383,dim_lignes_achat!$L:$L,dim_lignes_achat!$H:$H,"Nicht gefunden",0)</f>
        <v>650</v>
      </c>
      <c r="H383" s="12">
        <f t="shared" si="26"/>
        <v>10400</v>
      </c>
      <c r="I383" t="s">
        <v>229</v>
      </c>
      <c r="L383" t="str">
        <f>IF(ISNUMBER(MATCH(I383,dim_produits!$C:$C,0)),"OK","MANQUANT")</f>
        <v>OK</v>
      </c>
    </row>
    <row r="384" spans="1:12">
      <c r="A384">
        <f t="shared" si="21"/>
        <v>383</v>
      </c>
      <c r="B384">
        <v>25</v>
      </c>
      <c r="C384">
        <f>IFERROR(_xlfn.XLOOKUP(I384,dim_produits!$C:$C,dim_produits!$A:$A,""),"")</f>
        <v>54</v>
      </c>
      <c r="D384">
        <v>16</v>
      </c>
      <c r="E384" s="12">
        <v>800</v>
      </c>
      <c r="F384" s="12">
        <f t="shared" si="25"/>
        <v>12800</v>
      </c>
      <c r="G384" s="12">
        <f>_xlfn.XLOOKUP(I384,dim_lignes_achat!$L:$L,dim_lignes_achat!$H:$H,"Nicht gefunden",0)</f>
        <v>595.83333333333337</v>
      </c>
      <c r="H384" s="12">
        <f t="shared" si="26"/>
        <v>9533.3333333333339</v>
      </c>
      <c r="I384" t="s">
        <v>235</v>
      </c>
      <c r="L384" t="str">
        <f>IF(ISNUMBER(MATCH(I384,dim_produits!$C:$C,0)),"OK","MANQUANT")</f>
        <v>OK</v>
      </c>
    </row>
    <row r="385" spans="1:12">
      <c r="A385">
        <f t="shared" si="21"/>
        <v>384</v>
      </c>
      <c r="B385">
        <v>25</v>
      </c>
      <c r="C385">
        <f>IFERROR(_xlfn.XLOOKUP(I385,dim_produits!$C:$C,dim_produits!$A:$A,""),"")</f>
        <v>10</v>
      </c>
      <c r="D385">
        <v>17</v>
      </c>
      <c r="E385" s="12">
        <v>750</v>
      </c>
      <c r="F385" s="12">
        <f t="shared" si="25"/>
        <v>12750</v>
      </c>
      <c r="G385" s="12">
        <f>_xlfn.XLOOKUP(I385,dim_lignes_achat!$L:$L,dim_lignes_achat!$H:$H,"Nicht gefunden",0)</f>
        <v>595.83333333333337</v>
      </c>
      <c r="H385" s="12">
        <f t="shared" si="26"/>
        <v>10129.166666666668</v>
      </c>
      <c r="I385" t="s">
        <v>227</v>
      </c>
      <c r="L385" t="str">
        <f>IF(ISNUMBER(MATCH(I385,dim_produits!$C:$C,0)),"OK","MANQUANT")</f>
        <v>OK</v>
      </c>
    </row>
    <row r="386" spans="1:12">
      <c r="A386">
        <f t="shared" si="21"/>
        <v>385</v>
      </c>
      <c r="B386">
        <v>25</v>
      </c>
      <c r="C386">
        <f>IFERROR(_xlfn.XLOOKUP(I386,dim_produits!$C:$C,dim_produits!$A:$A,""),"")</f>
        <v>11</v>
      </c>
      <c r="D386">
        <v>27</v>
      </c>
      <c r="E386" s="12">
        <v>750</v>
      </c>
      <c r="F386" s="12">
        <f t="shared" si="25"/>
        <v>20250</v>
      </c>
      <c r="G386" s="12">
        <f>_xlfn.XLOOKUP(I386,dim_lignes_achat!$L:$L,dim_lignes_achat!$H:$H,"Nicht gefunden",0)</f>
        <v>650</v>
      </c>
      <c r="H386" s="12">
        <f t="shared" si="26"/>
        <v>17550</v>
      </c>
      <c r="I386" t="s">
        <v>223</v>
      </c>
      <c r="L386" t="str">
        <f>IF(ISNUMBER(MATCH(I386,dim_produits!$C:$C,0)),"OK","MANQUANT")</f>
        <v>OK</v>
      </c>
    </row>
    <row r="387" spans="1:12">
      <c r="A387">
        <f t="shared" si="21"/>
        <v>386</v>
      </c>
      <c r="B387">
        <v>25</v>
      </c>
      <c r="C387">
        <f>IFERROR(_xlfn.XLOOKUP(I387,dim_produits!$C:$C,dim_produits!$A:$A,""),"")</f>
        <v>18</v>
      </c>
      <c r="D387">
        <v>11</v>
      </c>
      <c r="E387" s="12">
        <v>750</v>
      </c>
      <c r="F387" s="12">
        <f t="shared" si="25"/>
        <v>8250</v>
      </c>
      <c r="G387" s="12">
        <f>_xlfn.XLOOKUP(I387,dim_lignes_achat!$L:$L,dim_lignes_achat!$H:$H,"Nicht gefunden",0)</f>
        <v>650</v>
      </c>
      <c r="H387" s="12">
        <f t="shared" si="26"/>
        <v>7150</v>
      </c>
      <c r="I387" t="s">
        <v>228</v>
      </c>
      <c r="L387" t="str">
        <f>IF(ISNUMBER(MATCH(I387,dim_produits!$C:$C,0)),"OK","MANQUANT")</f>
        <v>OK</v>
      </c>
    </row>
    <row r="388" spans="1:12">
      <c r="A388">
        <f t="shared" ref="A388:A399" si="27">A387+1</f>
        <v>387</v>
      </c>
      <c r="B388">
        <v>25</v>
      </c>
      <c r="C388">
        <f>IFERROR(_xlfn.XLOOKUP(I388,dim_produits!$C:$C,dim_produits!$A:$A,""),"")</f>
        <v>52</v>
      </c>
      <c r="D388">
        <v>9</v>
      </c>
      <c r="E388" s="12">
        <v>600</v>
      </c>
      <c r="F388" s="12">
        <f t="shared" si="25"/>
        <v>5400</v>
      </c>
      <c r="G388" s="12">
        <f>_xlfn.XLOOKUP(I388,dim_lignes_achat!$L:$L,dim_lignes_achat!$H:$H,"Nicht gefunden",0)</f>
        <v>470.83333333333331</v>
      </c>
      <c r="H388" s="12">
        <f t="shared" si="26"/>
        <v>4237.5</v>
      </c>
      <c r="I388" t="s">
        <v>237</v>
      </c>
      <c r="L388" t="str">
        <f>IF(ISNUMBER(MATCH(I388,dim_produits!$C:$C,0)),"OK","MANQUANT")</f>
        <v>OK</v>
      </c>
    </row>
    <row r="389" spans="1:12">
      <c r="A389">
        <f t="shared" si="27"/>
        <v>388</v>
      </c>
      <c r="B389">
        <v>25</v>
      </c>
      <c r="C389">
        <f>IFERROR(_xlfn.XLOOKUP(I389,dim_produits!$C:$C,dim_produits!$A:$A,""),"")</f>
        <v>55</v>
      </c>
      <c r="D389">
        <v>11</v>
      </c>
      <c r="E389" s="12">
        <v>900</v>
      </c>
      <c r="F389" s="12">
        <f t="shared" si="25"/>
        <v>9900</v>
      </c>
      <c r="G389" s="12">
        <f>_xlfn.XLOOKUP(I389,dim_lignes_achat!$L:$L,dim_lignes_achat!$H:$H,"Nicht gefunden",0)</f>
        <v>648.79999999999995</v>
      </c>
      <c r="H389" s="12">
        <f t="shared" si="26"/>
        <v>7136.7999999999993</v>
      </c>
      <c r="I389" t="s">
        <v>369</v>
      </c>
      <c r="L389" t="str">
        <f>IF(ISNUMBER(MATCH(I389,dim_produits!$C:$C,0)),"OK","MANQUANT")</f>
        <v>OK</v>
      </c>
    </row>
    <row r="390" spans="1:12">
      <c r="A390">
        <f t="shared" si="27"/>
        <v>389</v>
      </c>
      <c r="B390">
        <v>25</v>
      </c>
      <c r="C390">
        <f>IFERROR(_xlfn.XLOOKUP(I390,dim_produits!$C:$C,dim_produits!$A:$A,""),"")</f>
        <v>15</v>
      </c>
      <c r="D390">
        <v>1</v>
      </c>
      <c r="E390" s="12">
        <v>1000</v>
      </c>
      <c r="F390" s="12">
        <f t="shared" si="25"/>
        <v>1000</v>
      </c>
      <c r="G390" s="12">
        <f>_xlfn.XLOOKUP(I390,dim_lignes_achat!$L:$L,dim_lignes_achat!$H:$H,"Nicht gefunden",0)</f>
        <v>741.66666666666663</v>
      </c>
      <c r="H390" s="12">
        <f t="shared" si="26"/>
        <v>741.66666666666663</v>
      </c>
      <c r="I390" t="s">
        <v>230</v>
      </c>
      <c r="L390" t="str">
        <f>IF(ISNUMBER(MATCH(I390,dim_produits!$C:$C,0)),"OK","MANQUANT")</f>
        <v>OK</v>
      </c>
    </row>
    <row r="391" spans="1:12">
      <c r="A391">
        <f t="shared" si="27"/>
        <v>390</v>
      </c>
      <c r="B391">
        <v>25</v>
      </c>
      <c r="C391">
        <f>IFERROR(_xlfn.XLOOKUP(I391,dim_produits!$C:$C,dim_produits!$A:$A,""),"")</f>
        <v>29</v>
      </c>
      <c r="D391">
        <v>1</v>
      </c>
      <c r="E391" s="12">
        <v>500</v>
      </c>
      <c r="F391" s="12">
        <f t="shared" si="25"/>
        <v>500</v>
      </c>
      <c r="G391" s="12">
        <f>_xlfn.XLOOKUP(I391,dim_lignes_achat!$L:$L,dim_lignes_achat!$H:$H,"Nicht gefunden",0)</f>
        <v>370</v>
      </c>
      <c r="H391" s="12">
        <f t="shared" si="26"/>
        <v>370</v>
      </c>
      <c r="I391" t="s">
        <v>184</v>
      </c>
      <c r="L391" t="str">
        <f>IF(ISNUMBER(MATCH(I391,dim_produits!$C:$C,0)),"OK","MANQUANT")</f>
        <v>OK</v>
      </c>
    </row>
    <row r="392" spans="1:12">
      <c r="A392">
        <f t="shared" si="27"/>
        <v>391</v>
      </c>
      <c r="B392">
        <v>25</v>
      </c>
      <c r="C392">
        <f>IFERROR(_xlfn.XLOOKUP(I392,dim_produits!$C:$C,dim_produits!$A:$A,""),"")</f>
        <v>84</v>
      </c>
      <c r="D392">
        <v>3</v>
      </c>
      <c r="E392" s="12">
        <v>700</v>
      </c>
      <c r="F392" s="12">
        <f t="shared" si="25"/>
        <v>2100</v>
      </c>
      <c r="G392" s="12">
        <f>_xlfn.XLOOKUP(I392,dim_lignes_achat!$L:$L,dim_lignes_achat!$H:$H,"Nicht gefunden",0)</f>
        <v>583.33333333333337</v>
      </c>
      <c r="H392" s="12">
        <f t="shared" si="26"/>
        <v>1750</v>
      </c>
      <c r="I392" t="s">
        <v>209</v>
      </c>
      <c r="L392" t="str">
        <f>IF(ISNUMBER(MATCH(I392,dim_produits!$C:$C,0)),"OK","MANQUANT")</f>
        <v>OK</v>
      </c>
    </row>
    <row r="393" spans="1:12">
      <c r="A393">
        <f t="shared" si="27"/>
        <v>392</v>
      </c>
      <c r="B393">
        <v>25</v>
      </c>
      <c r="C393">
        <f>IFERROR(_xlfn.XLOOKUP(I393,dim_produits!$C:$C,dim_produits!$A:$A,""),"")</f>
        <v>14</v>
      </c>
      <c r="D393">
        <v>1</v>
      </c>
      <c r="E393" s="12">
        <v>750</v>
      </c>
      <c r="F393" s="12">
        <f t="shared" si="25"/>
        <v>750</v>
      </c>
      <c r="G393" s="12">
        <f>_xlfn.XLOOKUP(I393,dim_lignes_achat!$L:$L,dim_lignes_achat!$H:$H,"Nicht gefunden",0)</f>
        <v>554.16666666666663</v>
      </c>
      <c r="H393" s="12">
        <f t="shared" si="26"/>
        <v>554.16666666666663</v>
      </c>
      <c r="I393" t="s">
        <v>373</v>
      </c>
      <c r="L393" t="str">
        <f>IF(ISNUMBER(MATCH(I393,dim_produits!$C:$C,0)),"OK","MANQUANT")</f>
        <v>OK</v>
      </c>
    </row>
    <row r="394" spans="1:12">
      <c r="A394">
        <f t="shared" si="27"/>
        <v>393</v>
      </c>
      <c r="B394">
        <v>25</v>
      </c>
      <c r="C394">
        <f>IFERROR(_xlfn.XLOOKUP(I394,dim_produits!$C:$C,dim_produits!$A:$A,""),"")</f>
        <v>71</v>
      </c>
      <c r="D394">
        <v>1</v>
      </c>
      <c r="E394" s="12">
        <v>500</v>
      </c>
      <c r="F394" s="12">
        <f t="shared" si="25"/>
        <v>500</v>
      </c>
      <c r="G394" s="12">
        <f>_xlfn.XLOOKUP(I394,dim_lignes_achat!$L:$L,dim_lignes_achat!$H:$H,"Nicht gefunden",0)</f>
        <v>416.66666666666669</v>
      </c>
      <c r="H394" s="12">
        <f t="shared" si="26"/>
        <v>416.66666666666669</v>
      </c>
      <c r="I394" t="s">
        <v>194</v>
      </c>
      <c r="L394" t="str">
        <f>IF(ISNUMBER(MATCH(I394,dim_produits!$C:$C,0)),"OK","MANQUANT")</f>
        <v>OK</v>
      </c>
    </row>
    <row r="395" spans="1:12">
      <c r="A395">
        <f t="shared" si="27"/>
        <v>394</v>
      </c>
      <c r="B395">
        <v>25</v>
      </c>
      <c r="C395">
        <f>IFERROR(_xlfn.XLOOKUP(I395,dim_produits!$C:$C,dim_produits!$A:$A,""),"")</f>
        <v>33</v>
      </c>
      <c r="D395">
        <v>1</v>
      </c>
      <c r="E395" s="12">
        <v>400</v>
      </c>
      <c r="F395" s="12">
        <f t="shared" si="25"/>
        <v>400</v>
      </c>
      <c r="G395" s="12">
        <f>_xlfn.XLOOKUP(I395,dim_lignes_achat!$L:$L,dim_lignes_achat!$H:$H,"Nicht gefunden",0)</f>
        <v>225</v>
      </c>
      <c r="H395" s="12">
        <f t="shared" si="26"/>
        <v>225</v>
      </c>
      <c r="I395" t="s">
        <v>212</v>
      </c>
      <c r="L395" t="str">
        <f>IF(ISNUMBER(MATCH(I395,dim_produits!$C:$C,0)),"OK","MANQUANT")</f>
        <v>OK</v>
      </c>
    </row>
    <row r="396" spans="1:12">
      <c r="A396">
        <f t="shared" si="27"/>
        <v>395</v>
      </c>
      <c r="B396">
        <v>25</v>
      </c>
      <c r="C396">
        <f>IFERROR(_xlfn.XLOOKUP(I396,dim_produits!$C:$C,dim_produits!$A:$A,""),"")</f>
        <v>40</v>
      </c>
      <c r="D396">
        <v>2</v>
      </c>
      <c r="E396" s="12">
        <v>50</v>
      </c>
      <c r="F396" s="12">
        <f t="shared" si="25"/>
        <v>100</v>
      </c>
      <c r="G396" s="12">
        <f>_xlfn.XLOOKUP(I396,dim_lignes_achat!$L:$L,dim_lignes_achat!$H:$H,"Nicht gefunden",0)</f>
        <v>35.256410256410255</v>
      </c>
      <c r="H396" s="12">
        <f t="shared" si="26"/>
        <v>70.512820512820511</v>
      </c>
      <c r="I396" t="s">
        <v>156</v>
      </c>
      <c r="L396" t="str">
        <f>IF(ISNUMBER(MATCH(I396,dim_produits!$C:$C,0)),"OK","MANQUANT")</f>
        <v>OK</v>
      </c>
    </row>
    <row r="397" spans="1:12">
      <c r="A397">
        <f t="shared" si="27"/>
        <v>396</v>
      </c>
      <c r="B397">
        <v>25</v>
      </c>
      <c r="C397">
        <f>IFERROR(_xlfn.XLOOKUP(I397,dim_produits!$C:$C,dim_produits!$A:$A,""),"")</f>
        <v>9</v>
      </c>
      <c r="D397">
        <v>15</v>
      </c>
      <c r="E397" s="12">
        <v>750</v>
      </c>
      <c r="F397" s="12">
        <f t="shared" si="25"/>
        <v>11250</v>
      </c>
      <c r="G397" s="12">
        <f>_xlfn.XLOOKUP(I397,dim_lignes_achat!$L:$L,dim_lignes_achat!$H:$H,"Nicht gefunden",0)</f>
        <v>650</v>
      </c>
      <c r="H397" s="12">
        <f t="shared" ref="H397:H399" si="28">IF(ISNUMBER(G397),G397*D397,"")</f>
        <v>9750</v>
      </c>
      <c r="I397" t="s">
        <v>222</v>
      </c>
      <c r="L397" t="str">
        <f>IF(ISNUMBER(MATCH(I397,dim_produits!$C:$C,0)),"OK","MANQUANT")</f>
        <v>OK</v>
      </c>
    </row>
    <row r="398" spans="1:12">
      <c r="A398">
        <f t="shared" si="27"/>
        <v>397</v>
      </c>
      <c r="B398">
        <v>25</v>
      </c>
      <c r="C398">
        <f>IFERROR(_xlfn.XLOOKUP(I398,dim_produits!$C:$C,dim_produits!$A:$A,""),"")</f>
        <v>11</v>
      </c>
      <c r="D398">
        <v>4</v>
      </c>
      <c r="E398" s="12">
        <v>750</v>
      </c>
      <c r="F398" s="12">
        <f t="shared" si="25"/>
        <v>3000</v>
      </c>
      <c r="G398" s="12">
        <f>_xlfn.XLOOKUP(I398,dim_lignes_achat!$L:$L,dim_lignes_achat!$H:$H,"Nicht gefunden",0)</f>
        <v>650</v>
      </c>
      <c r="H398" s="12">
        <f t="shared" si="28"/>
        <v>2600</v>
      </c>
      <c r="I398" t="s">
        <v>223</v>
      </c>
      <c r="L398" t="str">
        <f>IF(ISNUMBER(MATCH(I398,dim_produits!$C:$C,0)),"OK","MANQUANT")</f>
        <v>OK</v>
      </c>
    </row>
    <row r="399" spans="1:12">
      <c r="A399">
        <f t="shared" si="27"/>
        <v>398</v>
      </c>
      <c r="B399">
        <v>25</v>
      </c>
      <c r="C399">
        <f>IFERROR(_xlfn.XLOOKUP(I399,dim_produits!$C:$C,dim_produits!$A:$A,""),"")</f>
        <v>16</v>
      </c>
      <c r="D399">
        <v>2</v>
      </c>
      <c r="E399" s="12">
        <v>750</v>
      </c>
      <c r="F399" s="12">
        <f t="shared" si="25"/>
        <v>1500</v>
      </c>
      <c r="G399" s="12">
        <f>_xlfn.XLOOKUP(I399,dim_lignes_achat!$L:$L,dim_lignes_achat!$H:$H,"Nicht gefunden",0)</f>
        <v>650</v>
      </c>
      <c r="H399" s="12">
        <f t="shared" si="28"/>
        <v>1300</v>
      </c>
      <c r="I399" t="s">
        <v>419</v>
      </c>
      <c r="L399" t="str">
        <f>IF(ISNUMBER(MATCH(I399,dim_produits!$C:$C,0)),"OK","MANQUANT")</f>
        <v>OK</v>
      </c>
    </row>
  </sheetData>
  <phoneticPr fontId="3" type="noConversion"/>
  <conditionalFormatting sqref="E2:E285">
    <cfRule type="expression" dxfId="0" priority="1">
      <formula>$E2&lt;$G2</formula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27E37-7EE5-46E5-9BE8-04BB6CA0FC78}">
  <dimension ref="A1:E3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29" sqref="E29:E31"/>
    </sheetView>
  </sheetViews>
  <sheetFormatPr baseColWidth="10" defaultRowHeight="14.4"/>
  <cols>
    <col min="4" max="4" width="15.5546875" customWidth="1"/>
    <col min="5" max="5" width="18.44140625" customWidth="1"/>
  </cols>
  <sheetData>
    <row r="1" spans="1:5">
      <c r="A1" s="1" t="s">
        <v>352</v>
      </c>
      <c r="B1" s="1" t="s">
        <v>31</v>
      </c>
      <c r="C1" s="1" t="s">
        <v>112</v>
      </c>
      <c r="D1" s="1" t="s">
        <v>354</v>
      </c>
      <c r="E1" s="1" t="s">
        <v>34</v>
      </c>
    </row>
    <row r="2" spans="1:5">
      <c r="A2">
        <v>1</v>
      </c>
      <c r="B2" s="4">
        <v>46175</v>
      </c>
      <c r="C2" s="4">
        <v>46175</v>
      </c>
      <c r="D2">
        <v>10</v>
      </c>
      <c r="E2" s="5">
        <f>SUMIF(dim_lignes_vente!B:B,A2,dim_lignes_vente!F:F)</f>
        <v>15350</v>
      </c>
    </row>
    <row r="3" spans="1:5">
      <c r="A3">
        <f>A2+1</f>
        <v>2</v>
      </c>
      <c r="B3" s="4">
        <v>46176</v>
      </c>
      <c r="C3" s="4">
        <v>46176</v>
      </c>
      <c r="D3">
        <v>10</v>
      </c>
      <c r="E3" s="5">
        <f>SUMIF(dim_lignes_vente!B:B,A3,dim_lignes_vente!F:F)</f>
        <v>17550</v>
      </c>
    </row>
    <row r="4" spans="1:5">
      <c r="A4">
        <f t="shared" ref="A4:A26" si="0">A3+1</f>
        <v>3</v>
      </c>
      <c r="B4" s="4">
        <v>46177</v>
      </c>
      <c r="C4" s="4">
        <v>46177</v>
      </c>
      <c r="D4">
        <v>10</v>
      </c>
      <c r="E4" s="5">
        <f>SUMIF(dim_lignes_vente!B:B,A4,dim_lignes_vente!F:F)</f>
        <v>9550</v>
      </c>
    </row>
    <row r="5" spans="1:5">
      <c r="A5">
        <f t="shared" si="0"/>
        <v>4</v>
      </c>
      <c r="B5" s="4">
        <v>46178</v>
      </c>
      <c r="C5" s="4">
        <v>46178</v>
      </c>
      <c r="D5">
        <v>10</v>
      </c>
      <c r="E5" s="5">
        <f>SUMIF(dim_lignes_vente!B:B,A5,dim_lignes_vente!F:F)</f>
        <v>9600</v>
      </c>
    </row>
    <row r="6" spans="1:5">
      <c r="A6">
        <f t="shared" si="0"/>
        <v>5</v>
      </c>
      <c r="B6" s="4">
        <v>46179</v>
      </c>
      <c r="C6" s="4">
        <v>46179</v>
      </c>
      <c r="D6">
        <v>10</v>
      </c>
      <c r="E6" s="5">
        <f>SUMIF(dim_lignes_vente!B:B,A6,dim_lignes_vente!F:F)</f>
        <v>82750</v>
      </c>
    </row>
    <row r="7" spans="1:5">
      <c r="A7">
        <f t="shared" si="0"/>
        <v>6</v>
      </c>
      <c r="B7" s="4">
        <v>46180</v>
      </c>
      <c r="C7" s="4">
        <v>46180</v>
      </c>
      <c r="D7">
        <v>10</v>
      </c>
      <c r="E7" s="5">
        <f>SUMIF(dim_lignes_vente!B:B,A7,dim_lignes_vente!F:F)</f>
        <v>70100</v>
      </c>
    </row>
    <row r="8" spans="1:5">
      <c r="A8">
        <f t="shared" si="0"/>
        <v>7</v>
      </c>
      <c r="B8" s="4">
        <v>46182</v>
      </c>
      <c r="C8" s="4">
        <v>46182</v>
      </c>
      <c r="D8">
        <v>10</v>
      </c>
      <c r="E8" s="5">
        <f>SUMIF(dim_lignes_vente!B:B,A8,dim_lignes_vente!F:F)</f>
        <v>85400</v>
      </c>
    </row>
    <row r="9" spans="1:5">
      <c r="A9">
        <f t="shared" si="0"/>
        <v>8</v>
      </c>
      <c r="B9" s="8">
        <v>46183</v>
      </c>
      <c r="C9" s="8">
        <v>46183</v>
      </c>
      <c r="D9">
        <v>10</v>
      </c>
      <c r="E9" s="5">
        <f>SUMIF(dim_lignes_vente!B:B,A9,dim_lignes_vente!F:F)</f>
        <v>34150</v>
      </c>
    </row>
    <row r="10" spans="1:5">
      <c r="A10">
        <f t="shared" si="0"/>
        <v>9</v>
      </c>
      <c r="B10" s="8">
        <v>46184</v>
      </c>
      <c r="C10" s="8">
        <v>46184</v>
      </c>
      <c r="D10">
        <v>10</v>
      </c>
      <c r="E10" s="5">
        <f>SUMIF(dim_lignes_vente!B:B,A10,dim_lignes_vente!F:F)</f>
        <v>55850</v>
      </c>
    </row>
    <row r="11" spans="1:5">
      <c r="A11">
        <f t="shared" si="0"/>
        <v>10</v>
      </c>
      <c r="B11" s="8">
        <v>46185</v>
      </c>
      <c r="C11" s="8">
        <v>46185</v>
      </c>
      <c r="D11">
        <v>10</v>
      </c>
      <c r="E11" s="5">
        <f>SUMIF(dim_lignes_vente!B:B,A11,dim_lignes_vente!F:F)</f>
        <v>12700</v>
      </c>
    </row>
    <row r="12" spans="1:5">
      <c r="A12">
        <f t="shared" si="0"/>
        <v>11</v>
      </c>
      <c r="B12" s="8">
        <v>46186</v>
      </c>
      <c r="C12" s="8">
        <v>46186</v>
      </c>
      <c r="D12">
        <v>10</v>
      </c>
      <c r="E12" s="5">
        <f>SUMIF(dim_lignes_vente!B:B,A12,dim_lignes_vente!F:F)</f>
        <v>45000</v>
      </c>
    </row>
    <row r="13" spans="1:5">
      <c r="A13">
        <f t="shared" si="0"/>
        <v>12</v>
      </c>
      <c r="B13" s="8">
        <v>46187</v>
      </c>
      <c r="C13" s="8">
        <v>46187</v>
      </c>
      <c r="D13">
        <v>10</v>
      </c>
      <c r="E13" s="5">
        <f>SUMIF(dim_lignes_vente!B:B,A13,dim_lignes_vente!F:F)</f>
        <v>16650</v>
      </c>
    </row>
    <row r="14" spans="1:5">
      <c r="A14">
        <f t="shared" si="0"/>
        <v>13</v>
      </c>
      <c r="B14" s="8">
        <v>46189</v>
      </c>
      <c r="C14" s="8">
        <v>46189</v>
      </c>
      <c r="D14">
        <v>10</v>
      </c>
      <c r="E14" s="5">
        <f>SUMIF(dim_lignes_vente!B:B,A14,dim_lignes_vente!F:F)</f>
        <v>45200</v>
      </c>
    </row>
    <row r="15" spans="1:5">
      <c r="A15">
        <f t="shared" si="0"/>
        <v>14</v>
      </c>
      <c r="B15" s="8">
        <v>46190</v>
      </c>
      <c r="C15" s="8">
        <v>46190</v>
      </c>
      <c r="D15">
        <v>10</v>
      </c>
      <c r="E15" s="5">
        <f>SUMIF(dim_lignes_vente!B:B,A15,dim_lignes_vente!F:F)</f>
        <v>22100</v>
      </c>
    </row>
    <row r="16" spans="1:5">
      <c r="A16">
        <f t="shared" si="0"/>
        <v>15</v>
      </c>
      <c r="B16" s="8">
        <v>46191</v>
      </c>
      <c r="C16" s="8">
        <v>46191</v>
      </c>
      <c r="D16">
        <v>10</v>
      </c>
      <c r="E16" s="5">
        <f>SUMIF(dim_lignes_vente!B:B,A16,dim_lignes_vente!F:F)</f>
        <v>37500</v>
      </c>
    </row>
    <row r="17" spans="1:5">
      <c r="A17">
        <f t="shared" si="0"/>
        <v>16</v>
      </c>
      <c r="B17" s="8">
        <v>46192</v>
      </c>
      <c r="C17" s="8">
        <v>46192</v>
      </c>
      <c r="D17">
        <v>10</v>
      </c>
      <c r="E17" s="5">
        <f>SUMIF(dim_lignes_vente!B:B,A17,dim_lignes_vente!F:F)</f>
        <v>43500</v>
      </c>
    </row>
    <row r="18" spans="1:5">
      <c r="A18">
        <f t="shared" si="0"/>
        <v>17</v>
      </c>
      <c r="B18" s="8">
        <v>46193</v>
      </c>
      <c r="C18" s="8">
        <v>46193</v>
      </c>
      <c r="D18">
        <v>10</v>
      </c>
      <c r="E18" s="5">
        <f>SUMIF(dim_lignes_vente!B:B,A18,dim_lignes_vente!F:F)</f>
        <v>51600</v>
      </c>
    </row>
    <row r="19" spans="1:5">
      <c r="A19">
        <f t="shared" si="0"/>
        <v>18</v>
      </c>
      <c r="B19" s="8">
        <v>46194</v>
      </c>
      <c r="C19" s="8">
        <v>46194</v>
      </c>
      <c r="D19">
        <v>10</v>
      </c>
      <c r="E19" s="5">
        <f>SUMIF(dim_lignes_vente!B:B,A19,dim_lignes_vente!F:F)</f>
        <v>15400</v>
      </c>
    </row>
    <row r="20" spans="1:5">
      <c r="A20">
        <f t="shared" si="0"/>
        <v>19</v>
      </c>
      <c r="B20" s="8">
        <v>46196</v>
      </c>
      <c r="C20" s="8">
        <v>46196</v>
      </c>
      <c r="D20">
        <v>10</v>
      </c>
      <c r="E20" s="5">
        <f>SUMIF(dim_lignes_vente!B:B,A20,dim_lignes_vente!F:F)</f>
        <v>63850</v>
      </c>
    </row>
    <row r="21" spans="1:5">
      <c r="A21">
        <f t="shared" si="0"/>
        <v>20</v>
      </c>
      <c r="B21" s="8">
        <v>46197</v>
      </c>
      <c r="C21" s="8">
        <v>46197</v>
      </c>
      <c r="D21">
        <v>10</v>
      </c>
      <c r="E21" s="5">
        <f>SUMIF(dim_lignes_vente!B:B,A21,dim_lignes_vente!F:F)</f>
        <v>16725</v>
      </c>
    </row>
    <row r="22" spans="1:5">
      <c r="A22">
        <f t="shared" si="0"/>
        <v>21</v>
      </c>
      <c r="B22" s="8">
        <v>46198</v>
      </c>
      <c r="C22" s="8">
        <v>46198</v>
      </c>
      <c r="D22">
        <v>10</v>
      </c>
      <c r="E22" s="5">
        <f>SUMIF(dim_lignes_vente!B:B,A22,dim_lignes_vente!F:F)</f>
        <v>35300</v>
      </c>
    </row>
    <row r="23" spans="1:5">
      <c r="A23">
        <f t="shared" si="0"/>
        <v>22</v>
      </c>
      <c r="B23" s="8">
        <v>46199</v>
      </c>
      <c r="C23" s="8">
        <v>46199</v>
      </c>
      <c r="D23">
        <v>10</v>
      </c>
      <c r="E23" s="5">
        <f>SUMIF(dim_lignes_vente!B:B,A23,dim_lignes_vente!F:F)</f>
        <v>111125</v>
      </c>
    </row>
    <row r="24" spans="1:5">
      <c r="A24">
        <f t="shared" si="0"/>
        <v>23</v>
      </c>
      <c r="B24" s="8">
        <v>46200</v>
      </c>
      <c r="C24" s="8">
        <v>46200</v>
      </c>
      <c r="D24">
        <v>10</v>
      </c>
      <c r="E24" s="5">
        <f>SUMIF(dim_lignes_vente!B:B,A24,dim_lignes_vente!F:F)</f>
        <v>63150</v>
      </c>
    </row>
    <row r="25" spans="1:5">
      <c r="A25">
        <f t="shared" si="0"/>
        <v>24</v>
      </c>
      <c r="B25" s="8">
        <v>46201</v>
      </c>
      <c r="C25" s="8">
        <v>46201</v>
      </c>
      <c r="D25">
        <v>10</v>
      </c>
      <c r="E25" s="5">
        <f>SUMIF(dim_lignes_vente!B:B,A25,dim_lignes_vente!F:F)</f>
        <v>54350</v>
      </c>
    </row>
    <row r="26" spans="1:5">
      <c r="A26">
        <f t="shared" si="0"/>
        <v>25</v>
      </c>
      <c r="B26" s="8">
        <v>46203</v>
      </c>
      <c r="C26" s="8">
        <v>46203</v>
      </c>
      <c r="D26">
        <v>10</v>
      </c>
      <c r="E26" s="5">
        <f>SUMIF(dim_lignes_vente!B:B,A26,dim_lignes_vente!F:F)</f>
        <v>163325</v>
      </c>
    </row>
    <row r="27" spans="1:5">
      <c r="E27" s="5"/>
    </row>
    <row r="28" spans="1:5">
      <c r="E28" s="5"/>
    </row>
    <row r="29" spans="1:5">
      <c r="E29" s="5"/>
    </row>
    <row r="30" spans="1:5">
      <c r="E30" s="5"/>
    </row>
    <row r="31" spans="1:5">
      <c r="E31" s="5"/>
    </row>
  </sheetData>
  <phoneticPr fontId="3" type="noConversion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2ED5-F866-405F-8E06-108BF95EF636}">
  <dimension ref="A1:N180"/>
  <sheetViews>
    <sheetView zoomScale="88" zoomScaleNormal="88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54" sqref="I154"/>
    </sheetView>
  </sheetViews>
  <sheetFormatPr baseColWidth="10" defaultRowHeight="14.4"/>
  <cols>
    <col min="1" max="1" width="17.21875" customWidth="1"/>
    <col min="3" max="3" width="17.109375" customWidth="1"/>
    <col min="5" max="5" width="19.88671875" customWidth="1"/>
    <col min="6" max="6" width="19" customWidth="1"/>
    <col min="7" max="8" width="17.33203125" style="10" customWidth="1"/>
    <col min="9" max="9" width="17.77734375" style="10" bestFit="1" customWidth="1"/>
    <col min="10" max="11" width="15.109375" style="8" customWidth="1"/>
    <col min="12" max="12" width="42.44140625" bestFit="1" customWidth="1"/>
    <col min="15" max="15" width="15.109375" bestFit="1" customWidth="1"/>
  </cols>
  <sheetData>
    <row r="1" spans="1:14">
      <c r="A1" s="1" t="s">
        <v>357</v>
      </c>
      <c r="B1" s="1" t="s">
        <v>358</v>
      </c>
      <c r="C1" s="1" t="s">
        <v>139</v>
      </c>
      <c r="D1" s="1" t="s">
        <v>60</v>
      </c>
      <c r="E1" s="1" t="s">
        <v>53</v>
      </c>
      <c r="F1" s="1" t="s">
        <v>121</v>
      </c>
      <c r="G1" s="9" t="s">
        <v>122</v>
      </c>
      <c r="H1" s="9" t="s">
        <v>76</v>
      </c>
      <c r="I1" s="9" t="s">
        <v>28</v>
      </c>
      <c r="J1" s="7" t="s">
        <v>72</v>
      </c>
      <c r="K1" s="7" t="s">
        <v>73</v>
      </c>
      <c r="L1" s="14" t="s">
        <v>4</v>
      </c>
    </row>
    <row r="2" spans="1:14">
      <c r="A2">
        <v>1</v>
      </c>
      <c r="B2" s="1">
        <v>1</v>
      </c>
      <c r="C2" s="1">
        <f>IFERROR(_xlfn.XLOOKUP(L2,dim_produits!$C:$C,dim_produits!$A:$A,""),"")</f>
        <v>36</v>
      </c>
      <c r="D2" s="18">
        <f>F2/E2</f>
        <v>4.833333333333333</v>
      </c>
      <c r="E2">
        <v>6</v>
      </c>
      <c r="F2" s="1">
        <v>29</v>
      </c>
      <c r="G2" s="19">
        <v>1200</v>
      </c>
      <c r="H2" s="9">
        <f>G2/E2</f>
        <v>200</v>
      </c>
      <c r="I2" s="9">
        <f>G2*D2</f>
        <v>5800</v>
      </c>
      <c r="J2" s="8">
        <v>46143</v>
      </c>
      <c r="K2" s="7">
        <v>46265</v>
      </c>
      <c r="L2" t="s">
        <v>215</v>
      </c>
      <c r="N2" t="str">
        <f>IF(ISNUMBER(MATCH(L2,dim_produits!$C:$C,0)),"OK","MANQUANT")</f>
        <v>OK</v>
      </c>
    </row>
    <row r="3" spans="1:14">
      <c r="A3">
        <f>A2+1</f>
        <v>2</v>
      </c>
      <c r="B3" s="1">
        <v>1</v>
      </c>
      <c r="C3" s="1">
        <f>IFERROR(_xlfn.XLOOKUP(L3,dim_produits!$C:$C,dim_produits!$A:$A,""),"")</f>
        <v>90</v>
      </c>
      <c r="D3" s="18">
        <f t="shared" ref="D3:D5" si="0">F3/E3</f>
        <v>1.0833333333333333</v>
      </c>
      <c r="E3">
        <v>12</v>
      </c>
      <c r="F3" s="1">
        <v>13</v>
      </c>
      <c r="G3" s="19">
        <v>4960</v>
      </c>
      <c r="H3" s="9">
        <f t="shared" ref="H3:H6" si="1">G3/E3</f>
        <v>413.33333333333331</v>
      </c>
      <c r="I3" s="9">
        <f t="shared" ref="I3:I6" si="2">G3*D3</f>
        <v>5373.333333333333</v>
      </c>
      <c r="J3" s="8">
        <v>46143</v>
      </c>
      <c r="K3" s="7">
        <v>46265</v>
      </c>
      <c r="L3" t="s">
        <v>367</v>
      </c>
      <c r="N3" t="str">
        <f>IF(ISNUMBER(MATCH(L3,dim_produits!$C:$C,0)),"OK","MANQUANT")</f>
        <v>OK</v>
      </c>
    </row>
    <row r="4" spans="1:14">
      <c r="A4">
        <f t="shared" ref="A4:A5" si="3">A3+1</f>
        <v>3</v>
      </c>
      <c r="B4" s="1">
        <v>1</v>
      </c>
      <c r="C4" s="1">
        <f>IFERROR(_xlfn.XLOOKUP(L4,dim_produits!$C:$C,dim_produits!$A:$A,""),"")</f>
        <v>91</v>
      </c>
      <c r="D4" s="18">
        <f t="shared" si="0"/>
        <v>0.41666666666666669</v>
      </c>
      <c r="E4">
        <v>12</v>
      </c>
      <c r="F4" s="1">
        <v>5</v>
      </c>
      <c r="G4" s="19">
        <v>4960</v>
      </c>
      <c r="H4" s="9">
        <f t="shared" si="1"/>
        <v>413.33333333333331</v>
      </c>
      <c r="I4" s="9">
        <f t="shared" si="2"/>
        <v>2066.666666666667</v>
      </c>
      <c r="J4" s="8">
        <v>46143</v>
      </c>
      <c r="K4" s="7">
        <v>46265</v>
      </c>
      <c r="L4" t="s">
        <v>371</v>
      </c>
      <c r="N4" t="str">
        <f>IF(ISNUMBER(MATCH(L4,dim_produits!$C:$C,0)),"OK","MANQUANT")</f>
        <v>OK</v>
      </c>
    </row>
    <row r="5" spans="1:14">
      <c r="A5">
        <f t="shared" si="3"/>
        <v>4</v>
      </c>
      <c r="B5" s="1">
        <v>1</v>
      </c>
      <c r="C5" s="1">
        <f>IFERROR(_xlfn.XLOOKUP(L5,dim_produits!$C:$C,dim_produits!$A:$A,""),"")</f>
        <v>79</v>
      </c>
      <c r="D5" s="18">
        <f t="shared" si="0"/>
        <v>3.6666666666666665</v>
      </c>
      <c r="E5">
        <v>6</v>
      </c>
      <c r="F5" s="1">
        <v>22</v>
      </c>
      <c r="G5" s="19">
        <v>2400</v>
      </c>
      <c r="H5" s="9">
        <f t="shared" si="1"/>
        <v>400</v>
      </c>
      <c r="I5" s="9">
        <f t="shared" si="2"/>
        <v>8800</v>
      </c>
      <c r="J5" s="8">
        <v>46143</v>
      </c>
      <c r="K5" s="7">
        <v>46265</v>
      </c>
      <c r="L5" t="s">
        <v>204</v>
      </c>
      <c r="N5" t="str">
        <f>IF(ISNUMBER(MATCH(L5,dim_produits!$C:$C,0)),"OK","MANQUANT")</f>
        <v>OK</v>
      </c>
    </row>
    <row r="6" spans="1:14">
      <c r="A6">
        <f t="shared" ref="A6:A69" si="4">A5+1</f>
        <v>5</v>
      </c>
      <c r="B6" s="1">
        <v>1</v>
      </c>
      <c r="C6" s="1">
        <f>IFERROR(_xlfn.XLOOKUP(L6,dim_produits!$C:$C,dim_produits!$A:$A,""),"")</f>
        <v>52</v>
      </c>
      <c r="D6" s="18">
        <f>F6/E6</f>
        <v>0.66666666666666663</v>
      </c>
      <c r="E6">
        <v>24</v>
      </c>
      <c r="F6" s="1">
        <v>16</v>
      </c>
      <c r="G6" s="19">
        <v>11300</v>
      </c>
      <c r="H6" s="9">
        <f t="shared" si="1"/>
        <v>470.83333333333331</v>
      </c>
      <c r="I6" s="9">
        <f t="shared" si="2"/>
        <v>7533.333333333333</v>
      </c>
      <c r="J6" s="8">
        <v>46143</v>
      </c>
      <c r="K6" s="7">
        <v>46265</v>
      </c>
      <c r="L6" t="s">
        <v>237</v>
      </c>
      <c r="N6" t="str">
        <f>IF(ISNUMBER(MATCH(L6,dim_produits!$C:$C,0)),"OK","MANQUANT")</f>
        <v>OK</v>
      </c>
    </row>
    <row r="7" spans="1:14">
      <c r="A7">
        <f t="shared" si="4"/>
        <v>6</v>
      </c>
      <c r="B7" s="1">
        <v>1</v>
      </c>
      <c r="C7" s="1">
        <f>IFERROR(_xlfn.XLOOKUP(L7,dim_produits!$C:$C,dim_produits!$A:$A,""),"")</f>
        <v>56</v>
      </c>
      <c r="D7" s="18">
        <f t="shared" ref="D7:D31" si="5">F7/E7</f>
        <v>1</v>
      </c>
      <c r="E7">
        <v>15</v>
      </c>
      <c r="F7" s="1">
        <v>15</v>
      </c>
      <c r="G7" s="19">
        <v>9750</v>
      </c>
      <c r="H7" s="9">
        <f t="shared" ref="H7" si="6">G7/E7</f>
        <v>650</v>
      </c>
      <c r="I7" s="9">
        <f t="shared" ref="I7" si="7">G7*D7</f>
        <v>9750</v>
      </c>
      <c r="J7" s="8">
        <v>46143</v>
      </c>
      <c r="K7" s="7">
        <v>46265</v>
      </c>
      <c r="L7" t="s">
        <v>238</v>
      </c>
      <c r="N7" t="str">
        <f>IF(ISNUMBER(MATCH(L7,dim_produits!$C:$C,0)),"OK","MANQUANT")</f>
        <v>OK</v>
      </c>
    </row>
    <row r="8" spans="1:14">
      <c r="A8">
        <f t="shared" si="4"/>
        <v>7</v>
      </c>
      <c r="B8" s="1">
        <v>1</v>
      </c>
      <c r="C8" s="1">
        <f>IFERROR(_xlfn.XLOOKUP(L8,dim_produits!$C:$C,dim_produits!$A:$A,""),"")</f>
        <v>74</v>
      </c>
      <c r="D8" s="18">
        <f t="shared" si="5"/>
        <v>2.5</v>
      </c>
      <c r="E8">
        <v>6</v>
      </c>
      <c r="F8" s="1">
        <v>15</v>
      </c>
      <c r="G8" s="19">
        <v>4200</v>
      </c>
      <c r="H8" s="113">
        <f>G8/E8</f>
        <v>700</v>
      </c>
      <c r="I8" s="113">
        <f t="shared" ref="I8:I9" si="8">F8*H8</f>
        <v>10500</v>
      </c>
      <c r="J8" s="8">
        <v>46143</v>
      </c>
      <c r="K8" s="7">
        <v>46265</v>
      </c>
      <c r="L8" t="s">
        <v>198</v>
      </c>
      <c r="N8" t="str">
        <f>IF(ISNUMBER(MATCH(L8,dim_produits!$C:$C,0)),"OK","MANQUANT")</f>
        <v>OK</v>
      </c>
    </row>
    <row r="9" spans="1:14">
      <c r="A9">
        <f t="shared" si="4"/>
        <v>8</v>
      </c>
      <c r="B9" s="1">
        <v>1</v>
      </c>
      <c r="C9" s="1">
        <f>IFERROR(_xlfn.XLOOKUP(L9,dim_produits!$C:$C,dim_produits!$A:$A,""),"")</f>
        <v>88</v>
      </c>
      <c r="D9" s="18">
        <f t="shared" si="5"/>
        <v>0.15</v>
      </c>
      <c r="E9">
        <v>100</v>
      </c>
      <c r="F9" s="1">
        <v>15</v>
      </c>
      <c r="G9" s="19">
        <f>H9*E9</f>
        <v>6600</v>
      </c>
      <c r="H9" s="9">
        <v>66</v>
      </c>
      <c r="I9" s="9">
        <f t="shared" si="8"/>
        <v>990</v>
      </c>
      <c r="J9" s="8">
        <v>46143</v>
      </c>
      <c r="K9" s="7">
        <v>46265</v>
      </c>
      <c r="L9" t="s">
        <v>253</v>
      </c>
      <c r="N9" t="str">
        <f>IF(ISNUMBER(MATCH(L9,dim_produits!$C:$C,0)),"OK","MANQUANT")</f>
        <v>OK</v>
      </c>
    </row>
    <row r="10" spans="1:14">
      <c r="A10">
        <f t="shared" si="4"/>
        <v>9</v>
      </c>
      <c r="B10" s="1">
        <v>1</v>
      </c>
      <c r="C10" s="1">
        <f>IFERROR(_xlfn.XLOOKUP(L10,dim_produits!$C:$C,dim_produits!$A:$A,""),"")</f>
        <v>51</v>
      </c>
      <c r="D10" s="18">
        <f t="shared" si="5"/>
        <v>0.91666666666666663</v>
      </c>
      <c r="E10">
        <v>12</v>
      </c>
      <c r="F10" s="1">
        <v>11</v>
      </c>
      <c r="G10" s="19">
        <v>11900</v>
      </c>
      <c r="H10" s="9">
        <f t="shared" ref="H10" si="9">G10/E10</f>
        <v>991.66666666666663</v>
      </c>
      <c r="I10" s="9">
        <f t="shared" ref="I10" si="10">G10*D10</f>
        <v>10908.333333333332</v>
      </c>
      <c r="J10" s="8">
        <v>46143</v>
      </c>
      <c r="K10" s="7">
        <v>46265</v>
      </c>
      <c r="L10" t="s">
        <v>236</v>
      </c>
      <c r="N10" t="str">
        <f>IF(ISNUMBER(MATCH(L10,dim_produits!$C:$C,0)),"OK","MANQUANT")</f>
        <v>OK</v>
      </c>
    </row>
    <row r="11" spans="1:14">
      <c r="A11">
        <f t="shared" si="4"/>
        <v>10</v>
      </c>
      <c r="B11" s="1">
        <v>1</v>
      </c>
      <c r="C11" s="1">
        <f>IFERROR(_xlfn.XLOOKUP(L11,dim_produits!$C:$C,dim_produits!$A:$A,""),"")</f>
        <v>5</v>
      </c>
      <c r="D11" s="18">
        <f t="shared" si="5"/>
        <v>1.1000000000000001</v>
      </c>
      <c r="E11">
        <v>10</v>
      </c>
      <c r="F11" s="1">
        <v>11</v>
      </c>
      <c r="G11" s="19">
        <v>1999.98</v>
      </c>
      <c r="H11" s="9">
        <f t="shared" ref="H11:H13" si="11">G11/E11</f>
        <v>199.99799999999999</v>
      </c>
      <c r="I11" s="9">
        <f t="shared" ref="I11:I13" si="12">G11*D11</f>
        <v>2199.9780000000001</v>
      </c>
      <c r="J11" s="8">
        <v>46143</v>
      </c>
      <c r="K11" s="7">
        <v>46265</v>
      </c>
      <c r="L11" t="s">
        <v>197</v>
      </c>
      <c r="N11" t="str">
        <f>IF(ISNUMBER(MATCH(L11,dim_produits!$C:$C,0)),"OK","MANQUANT")</f>
        <v>OK</v>
      </c>
    </row>
    <row r="12" spans="1:14">
      <c r="A12">
        <f t="shared" si="4"/>
        <v>11</v>
      </c>
      <c r="B12" s="1">
        <v>1</v>
      </c>
      <c r="C12" s="1">
        <f>IFERROR(_xlfn.XLOOKUP(L12,dim_produits!$C:$C,dim_produits!$A:$A,""),"")</f>
        <v>72</v>
      </c>
      <c r="D12" s="18">
        <f t="shared" si="5"/>
        <v>1.1666666666666667</v>
      </c>
      <c r="E12">
        <v>6</v>
      </c>
      <c r="F12" s="1">
        <v>7</v>
      </c>
      <c r="G12" s="19">
        <v>2500</v>
      </c>
      <c r="H12" s="9">
        <f t="shared" si="11"/>
        <v>416.66666666666669</v>
      </c>
      <c r="I12" s="9">
        <f t="shared" si="12"/>
        <v>2916.666666666667</v>
      </c>
      <c r="J12" s="8">
        <v>46143</v>
      </c>
      <c r="K12" s="7">
        <v>46265</v>
      </c>
      <c r="L12" t="s">
        <v>195</v>
      </c>
      <c r="N12" t="str">
        <f>IF(ISNUMBER(MATCH(L12,dim_produits!$C:$C,0)),"OK","MANQUANT")</f>
        <v>OK</v>
      </c>
    </row>
    <row r="13" spans="1:14">
      <c r="A13">
        <f t="shared" si="4"/>
        <v>12</v>
      </c>
      <c r="B13" s="1">
        <v>1</v>
      </c>
      <c r="C13" s="1">
        <f>IFERROR(_xlfn.XLOOKUP(L13,dim_produits!$C:$C,dim_produits!$A:$A,""),"")</f>
        <v>12</v>
      </c>
      <c r="D13" s="18">
        <f t="shared" si="5"/>
        <v>0.5</v>
      </c>
      <c r="E13">
        <v>12</v>
      </c>
      <c r="F13" s="1">
        <v>6</v>
      </c>
      <c r="G13" s="19">
        <v>7800</v>
      </c>
      <c r="H13" s="9">
        <f t="shared" si="11"/>
        <v>650</v>
      </c>
      <c r="I13" s="9">
        <f t="shared" si="12"/>
        <v>3900</v>
      </c>
      <c r="J13" s="8">
        <v>46143</v>
      </c>
      <c r="K13" s="7">
        <v>46265</v>
      </c>
      <c r="L13" t="s">
        <v>229</v>
      </c>
      <c r="N13" t="str">
        <f>IF(ISNUMBER(MATCH(L13,dim_produits!$C:$C,0)),"OK","MANQUANT")</f>
        <v>OK</v>
      </c>
    </row>
    <row r="14" spans="1:14">
      <c r="A14">
        <f t="shared" si="4"/>
        <v>13</v>
      </c>
      <c r="B14" s="1">
        <v>1</v>
      </c>
      <c r="C14" s="1">
        <f>IFERROR(_xlfn.XLOOKUP(L14,dim_produits!$C:$C,dim_produits!$A:$A,""),"")</f>
        <v>89</v>
      </c>
      <c r="D14" s="18">
        <f t="shared" si="5"/>
        <v>0.75</v>
      </c>
      <c r="E14">
        <v>12</v>
      </c>
      <c r="F14" s="1">
        <v>9</v>
      </c>
      <c r="G14" s="19">
        <v>6200</v>
      </c>
      <c r="H14" s="9">
        <f t="shared" ref="H14:H18" si="13">G14/E14</f>
        <v>516.66666666666663</v>
      </c>
      <c r="I14" s="9">
        <f t="shared" ref="I14:I18" si="14">G14*D14</f>
        <v>4650</v>
      </c>
      <c r="J14" s="8">
        <v>46143</v>
      </c>
      <c r="K14" s="7">
        <v>46265</v>
      </c>
      <c r="L14" t="s">
        <v>366</v>
      </c>
      <c r="N14" t="str">
        <f>IF(ISNUMBER(MATCH(L14,dim_produits!$C:$C,0)),"OK","MANQUANT")</f>
        <v>OK</v>
      </c>
    </row>
    <row r="15" spans="1:14">
      <c r="A15">
        <f t="shared" si="4"/>
        <v>14</v>
      </c>
      <c r="B15" s="1">
        <v>1</v>
      </c>
      <c r="C15" s="1">
        <f>IFERROR(_xlfn.XLOOKUP(L15,dim_produits!$C:$C,dim_produits!$A:$A,""),"")</f>
        <v>52</v>
      </c>
      <c r="D15" s="18">
        <f t="shared" si="5"/>
        <v>0.20833333333333334</v>
      </c>
      <c r="E15">
        <v>24</v>
      </c>
      <c r="F15" s="1">
        <v>5</v>
      </c>
      <c r="G15" s="19">
        <v>11300</v>
      </c>
      <c r="H15" s="9">
        <f t="shared" si="13"/>
        <v>470.83333333333331</v>
      </c>
      <c r="I15" s="9">
        <f t="shared" si="14"/>
        <v>2354.166666666667</v>
      </c>
      <c r="J15" s="8">
        <v>46143</v>
      </c>
      <c r="K15" s="7">
        <v>46265</v>
      </c>
      <c r="L15" t="s">
        <v>237</v>
      </c>
      <c r="N15" t="str">
        <f>IF(ISNUMBER(MATCH(L15,dim_produits!$C:$C,0)),"OK","MANQUANT")</f>
        <v>OK</v>
      </c>
    </row>
    <row r="16" spans="1:14">
      <c r="A16">
        <f t="shared" si="4"/>
        <v>15</v>
      </c>
      <c r="B16" s="1">
        <v>1</v>
      </c>
      <c r="C16" s="1">
        <f>IFERROR(_xlfn.XLOOKUP(L16,dim_produits!$C:$C,dim_produits!$A:$A,""),"")</f>
        <v>11</v>
      </c>
      <c r="D16" s="18">
        <f t="shared" si="5"/>
        <v>0.25</v>
      </c>
      <c r="E16">
        <v>12</v>
      </c>
      <c r="F16" s="1">
        <v>3</v>
      </c>
      <c r="G16" s="19">
        <v>7800</v>
      </c>
      <c r="H16" s="9">
        <f t="shared" si="13"/>
        <v>650</v>
      </c>
      <c r="I16" s="9">
        <f t="shared" si="14"/>
        <v>1950</v>
      </c>
      <c r="J16" s="8">
        <v>46143</v>
      </c>
      <c r="K16" s="7">
        <v>46265</v>
      </c>
      <c r="L16" t="s">
        <v>223</v>
      </c>
      <c r="N16" t="str">
        <f>IF(ISNUMBER(MATCH(L16,dim_produits!$C:$C,0)),"OK","MANQUANT")</f>
        <v>OK</v>
      </c>
    </row>
    <row r="17" spans="1:14">
      <c r="A17">
        <f t="shared" si="4"/>
        <v>16</v>
      </c>
      <c r="B17" s="1">
        <v>1</v>
      </c>
      <c r="C17" s="1">
        <f>IFERROR(_xlfn.XLOOKUP(L17,dim_produits!$C:$C,dim_produits!$A:$A,""),"")</f>
        <v>16</v>
      </c>
      <c r="D17" s="18">
        <f t="shared" si="5"/>
        <v>0.25</v>
      </c>
      <c r="E17">
        <v>12</v>
      </c>
      <c r="F17" s="1">
        <v>3</v>
      </c>
      <c r="G17" s="19">
        <v>7800</v>
      </c>
      <c r="H17" s="9">
        <f t="shared" si="13"/>
        <v>650</v>
      </c>
      <c r="I17" s="9">
        <f t="shared" si="14"/>
        <v>1950</v>
      </c>
      <c r="J17" s="8">
        <v>46143</v>
      </c>
      <c r="K17" s="7">
        <v>46265</v>
      </c>
      <c r="L17" t="s">
        <v>419</v>
      </c>
      <c r="N17" t="str">
        <f>IF(ISNUMBER(MATCH(L17,dim_produits!$C:$C,0)),"OK","MANQUANT")</f>
        <v>OK</v>
      </c>
    </row>
    <row r="18" spans="1:14">
      <c r="A18">
        <f t="shared" si="4"/>
        <v>17</v>
      </c>
      <c r="B18" s="1">
        <v>1</v>
      </c>
      <c r="C18" s="1">
        <f>IFERROR(_xlfn.XLOOKUP(L18,dim_produits!$C:$C,dim_produits!$A:$A,""),"")</f>
        <v>10</v>
      </c>
      <c r="D18" s="18">
        <f t="shared" si="5"/>
        <v>0.16666666666666666</v>
      </c>
      <c r="E18">
        <v>12</v>
      </c>
      <c r="F18" s="1">
        <v>2</v>
      </c>
      <c r="G18" s="19">
        <v>7150</v>
      </c>
      <c r="H18" s="9">
        <f t="shared" si="13"/>
        <v>595.83333333333337</v>
      </c>
      <c r="I18" s="9">
        <f t="shared" si="14"/>
        <v>1191.6666666666665</v>
      </c>
      <c r="J18" s="8">
        <v>46143</v>
      </c>
      <c r="K18" s="7">
        <v>46265</v>
      </c>
      <c r="L18" t="s">
        <v>227</v>
      </c>
      <c r="N18" t="str">
        <f>IF(ISNUMBER(MATCH(L18,dim_produits!$C:$C,0)),"OK","MANQUANT")</f>
        <v>OK</v>
      </c>
    </row>
    <row r="19" spans="1:14">
      <c r="A19">
        <f t="shared" si="4"/>
        <v>18</v>
      </c>
      <c r="B19" s="1">
        <v>1</v>
      </c>
      <c r="C19" s="1">
        <f>IFERROR(_xlfn.XLOOKUP(L19,dim_produits!$C:$C,dim_produits!$A:$A,""),"")</f>
        <v>9</v>
      </c>
      <c r="D19" s="18">
        <f t="shared" si="5"/>
        <v>8.3333333333333329E-2</v>
      </c>
      <c r="E19">
        <v>12</v>
      </c>
      <c r="F19" s="1">
        <v>1</v>
      </c>
      <c r="G19" s="19">
        <v>7800</v>
      </c>
      <c r="H19" s="9">
        <f t="shared" ref="H19" si="15">G19/E19</f>
        <v>650</v>
      </c>
      <c r="I19" s="9">
        <f t="shared" ref="I19" si="16">G19*D19</f>
        <v>650</v>
      </c>
      <c r="J19" s="8">
        <v>46143</v>
      </c>
      <c r="K19" s="7">
        <v>46265</v>
      </c>
      <c r="L19" t="s">
        <v>222</v>
      </c>
      <c r="N19" t="str">
        <f>IF(ISNUMBER(MATCH(L19,dim_produits!$C:$C,0)),"OK","MANQUANT")</f>
        <v>OK</v>
      </c>
    </row>
    <row r="20" spans="1:14">
      <c r="A20">
        <f t="shared" si="4"/>
        <v>19</v>
      </c>
      <c r="B20" s="1">
        <v>1</v>
      </c>
      <c r="C20" s="1">
        <f>IFERROR(_xlfn.XLOOKUP(L20,dim_produits!$C:$C,dim_produits!$A:$A,""),"")</f>
        <v>13</v>
      </c>
      <c r="D20" s="18">
        <f t="shared" si="5"/>
        <v>1.5833333333333333</v>
      </c>
      <c r="E20">
        <v>12</v>
      </c>
      <c r="F20" s="1">
        <v>19</v>
      </c>
      <c r="G20" s="19">
        <f>H20*E20</f>
        <v>8400</v>
      </c>
      <c r="H20" s="113">
        <v>700</v>
      </c>
      <c r="I20" s="113">
        <f>F20*H20</f>
        <v>13300</v>
      </c>
      <c r="J20" s="8">
        <v>46143</v>
      </c>
      <c r="K20" s="7">
        <v>46265</v>
      </c>
      <c r="L20" t="s">
        <v>233</v>
      </c>
      <c r="N20" t="str">
        <f>IF(ISNUMBER(MATCH(L20,dim_produits!$C:$C,0)),"OK","MANQUANT")</f>
        <v>OK</v>
      </c>
    </row>
    <row r="21" spans="1:14">
      <c r="A21">
        <f t="shared" si="4"/>
        <v>20</v>
      </c>
      <c r="B21" s="1">
        <v>1</v>
      </c>
      <c r="C21" s="1">
        <f>IFERROR(_xlfn.XLOOKUP(L21,dim_produits!$C:$C,dim_produits!$A:$A,""),"")</f>
        <v>50</v>
      </c>
      <c r="D21" s="18">
        <f t="shared" si="5"/>
        <v>3.1666666666666665</v>
      </c>
      <c r="E21" s="77">
        <v>12</v>
      </c>
      <c r="F21" s="1">
        <v>38</v>
      </c>
      <c r="G21" s="19">
        <f>H21*E21</f>
        <v>540</v>
      </c>
      <c r="H21" s="9">
        <v>45</v>
      </c>
      <c r="I21" s="9">
        <f>F21*H21</f>
        <v>1710</v>
      </c>
      <c r="J21" s="8">
        <v>46143</v>
      </c>
      <c r="K21" s="7">
        <v>46265</v>
      </c>
      <c r="L21" t="s">
        <v>248</v>
      </c>
      <c r="N21" t="str">
        <f>IF(ISNUMBER(MATCH(L21,dim_produits!$C:$C,0)),"OK","MANQUANT")</f>
        <v>OK</v>
      </c>
    </row>
    <row r="22" spans="1:14">
      <c r="A22">
        <f t="shared" si="4"/>
        <v>21</v>
      </c>
      <c r="B22" s="1">
        <v>1</v>
      </c>
      <c r="C22" s="1">
        <f>IFERROR(_xlfn.XLOOKUP(L22,dim_produits!$C:$C,dim_produits!$A:$A,""),"")</f>
        <v>47</v>
      </c>
      <c r="D22" s="18">
        <f t="shared" si="5"/>
        <v>1.0833333333333333</v>
      </c>
      <c r="E22" s="77">
        <v>12</v>
      </c>
      <c r="F22" s="1">
        <v>13</v>
      </c>
      <c r="G22" s="19">
        <f>H22*E22</f>
        <v>1080</v>
      </c>
      <c r="H22" s="9">
        <v>90</v>
      </c>
      <c r="I22" s="9">
        <f t="shared" ref="I22:I31" si="17">F22*H22</f>
        <v>1170</v>
      </c>
      <c r="J22" s="8">
        <v>46143</v>
      </c>
      <c r="K22" s="7">
        <v>46265</v>
      </c>
      <c r="L22" t="s">
        <v>249</v>
      </c>
      <c r="N22" t="str">
        <f>IF(ISNUMBER(MATCH(L22,dim_produits!$C:$C,0)),"OK","MANQUANT")</f>
        <v>OK</v>
      </c>
    </row>
    <row r="23" spans="1:14">
      <c r="A23">
        <f t="shared" si="4"/>
        <v>22</v>
      </c>
      <c r="B23" s="1">
        <v>1</v>
      </c>
      <c r="C23" s="1">
        <f>IFERROR(_xlfn.XLOOKUP(L23,dim_produits!$C:$C,dim_produits!$A:$A,""),"")</f>
        <v>96</v>
      </c>
      <c r="D23" s="1">
        <f t="shared" si="5"/>
        <v>1</v>
      </c>
      <c r="E23" s="77">
        <v>12</v>
      </c>
      <c r="F23" s="1">
        <v>12</v>
      </c>
      <c r="G23" s="19">
        <f t="shared" ref="G23:G31" si="18">H23*E23</f>
        <v>540</v>
      </c>
      <c r="H23" s="9">
        <v>45</v>
      </c>
      <c r="I23" s="9">
        <f t="shared" si="17"/>
        <v>540</v>
      </c>
      <c r="J23" s="8">
        <v>46143</v>
      </c>
      <c r="K23" s="7">
        <v>46265</v>
      </c>
      <c r="L23" t="s">
        <v>252</v>
      </c>
      <c r="N23" t="str">
        <f>IF(ISNUMBER(MATCH(L23,dim_produits!$C:$C,0)),"OK","MANQUANT")</f>
        <v>OK</v>
      </c>
    </row>
    <row r="24" spans="1:14">
      <c r="A24">
        <f t="shared" si="4"/>
        <v>23</v>
      </c>
      <c r="B24" s="1">
        <v>1</v>
      </c>
      <c r="C24" s="1">
        <f>IFERROR(_xlfn.XLOOKUP(L24,dim_produits!$C:$C,dim_produits!$A:$A,""),"")</f>
        <v>48</v>
      </c>
      <c r="D24" s="1">
        <f t="shared" si="5"/>
        <v>0.75</v>
      </c>
      <c r="E24" s="1">
        <v>12</v>
      </c>
      <c r="F24" s="1">
        <v>9</v>
      </c>
      <c r="G24" s="19">
        <f t="shared" si="18"/>
        <v>1080</v>
      </c>
      <c r="H24" s="9">
        <v>90</v>
      </c>
      <c r="I24" s="9">
        <f t="shared" si="17"/>
        <v>810</v>
      </c>
      <c r="J24" s="8">
        <v>46143</v>
      </c>
      <c r="K24" s="7">
        <v>46265</v>
      </c>
      <c r="L24" t="s">
        <v>250</v>
      </c>
      <c r="N24" t="str">
        <f>IF(ISNUMBER(MATCH(L24,dim_produits!$C:$C,0)),"OK","MANQUANT")</f>
        <v>OK</v>
      </c>
    </row>
    <row r="25" spans="1:14">
      <c r="A25">
        <f t="shared" si="4"/>
        <v>24</v>
      </c>
      <c r="B25" s="1">
        <v>1</v>
      </c>
      <c r="C25" s="1">
        <f>IFERROR(_xlfn.XLOOKUP(L25,dim_produits!$C:$C,dim_produits!$A:$A,""),"")</f>
        <v>42</v>
      </c>
      <c r="D25" s="1">
        <f t="shared" si="5"/>
        <v>1</v>
      </c>
      <c r="E25" s="1">
        <v>6</v>
      </c>
      <c r="F25" s="1">
        <v>6</v>
      </c>
      <c r="G25" s="19">
        <f t="shared" si="18"/>
        <v>2700</v>
      </c>
      <c r="H25" s="9">
        <v>450</v>
      </c>
      <c r="I25" s="9">
        <f t="shared" si="17"/>
        <v>2700</v>
      </c>
      <c r="J25" s="8">
        <v>46143</v>
      </c>
      <c r="K25" s="7">
        <v>46265</v>
      </c>
      <c r="L25" t="s">
        <v>247</v>
      </c>
      <c r="N25" t="str">
        <f>IF(ISNUMBER(MATCH(L25,dim_produits!$C:$C,0)),"OK","MANQUANT")</f>
        <v>OK</v>
      </c>
    </row>
    <row r="26" spans="1:14">
      <c r="A26">
        <f t="shared" si="4"/>
        <v>25</v>
      </c>
      <c r="B26" s="1">
        <v>1</v>
      </c>
      <c r="C26" s="1">
        <f>IFERROR(_xlfn.XLOOKUP(L26,dim_produits!$C:$C,dim_produits!$A:$A,""),"")</f>
        <v>49</v>
      </c>
      <c r="D26" s="1">
        <f t="shared" si="5"/>
        <v>0.25</v>
      </c>
      <c r="E26" s="1">
        <v>12</v>
      </c>
      <c r="F26" s="1">
        <v>3</v>
      </c>
      <c r="G26" s="19">
        <f t="shared" si="18"/>
        <v>2160</v>
      </c>
      <c r="H26" s="9">
        <v>180</v>
      </c>
      <c r="I26" s="9">
        <f t="shared" si="17"/>
        <v>540</v>
      </c>
      <c r="J26" s="8">
        <v>46143</v>
      </c>
      <c r="K26" s="7">
        <v>46265</v>
      </c>
      <c r="L26" t="s">
        <v>251</v>
      </c>
      <c r="N26" t="str">
        <f>IF(ISNUMBER(MATCH(L26,dim_produits!$C:$C,0)),"OK","MANQUANT")</f>
        <v>OK</v>
      </c>
    </row>
    <row r="27" spans="1:14">
      <c r="A27">
        <f t="shared" si="4"/>
        <v>26</v>
      </c>
      <c r="B27" s="1">
        <v>1</v>
      </c>
      <c r="C27" s="1">
        <f>IFERROR(_xlfn.XLOOKUP(L27,dim_produits!$C:$C,dim_produits!$A:$A,""),"")</f>
        <v>37</v>
      </c>
      <c r="D27" s="1">
        <f t="shared" si="5"/>
        <v>0.25</v>
      </c>
      <c r="E27" s="1">
        <v>12</v>
      </c>
      <c r="F27" s="1">
        <v>3</v>
      </c>
      <c r="G27" s="19">
        <f t="shared" si="18"/>
        <v>10800</v>
      </c>
      <c r="H27" s="9">
        <v>900</v>
      </c>
      <c r="I27" s="9">
        <f t="shared" si="17"/>
        <v>2700</v>
      </c>
      <c r="J27" s="8">
        <v>46143</v>
      </c>
      <c r="K27" s="7">
        <v>46265</v>
      </c>
      <c r="L27" t="s">
        <v>244</v>
      </c>
      <c r="N27" t="str">
        <f>IF(ISNUMBER(MATCH(L27,dim_produits!$C:$C,0)),"OK","MANQUANT")</f>
        <v>OK</v>
      </c>
    </row>
    <row r="28" spans="1:14">
      <c r="A28">
        <f t="shared" si="4"/>
        <v>27</v>
      </c>
      <c r="B28" s="1">
        <v>1</v>
      </c>
      <c r="C28" s="1">
        <f>IFERROR(_xlfn.XLOOKUP(L28,dim_produits!$C:$C,dim_produits!$A:$A,""),"")</f>
        <v>65</v>
      </c>
      <c r="D28" s="18">
        <f t="shared" si="5"/>
        <v>0.16666666666666666</v>
      </c>
      <c r="E28" s="1">
        <v>12</v>
      </c>
      <c r="F28" s="1">
        <v>2</v>
      </c>
      <c r="G28" s="19">
        <f t="shared" si="18"/>
        <v>5400</v>
      </c>
      <c r="H28" s="9">
        <v>450</v>
      </c>
      <c r="I28" s="9">
        <f t="shared" si="17"/>
        <v>900</v>
      </c>
      <c r="J28" s="8">
        <v>46143</v>
      </c>
      <c r="K28" s="7">
        <v>46265</v>
      </c>
      <c r="L28" t="s">
        <v>240</v>
      </c>
      <c r="N28" t="str">
        <f>IF(ISNUMBER(MATCH(L28,dim_produits!$C:$C,0)),"OK","MANQUANT")</f>
        <v>OK</v>
      </c>
    </row>
    <row r="29" spans="1:14">
      <c r="A29">
        <f t="shared" si="4"/>
        <v>28</v>
      </c>
      <c r="B29" s="1">
        <v>1</v>
      </c>
      <c r="C29" s="1">
        <f>IFERROR(_xlfn.XLOOKUP(L29,dim_produits!$C:$C,dim_produits!$A:$A,""),"")</f>
        <v>38</v>
      </c>
      <c r="D29" s="18">
        <f t="shared" si="5"/>
        <v>0.33333333333333331</v>
      </c>
      <c r="E29" s="1">
        <v>6</v>
      </c>
      <c r="F29" s="1">
        <v>2</v>
      </c>
      <c r="G29" s="19">
        <f t="shared" si="18"/>
        <v>13500</v>
      </c>
      <c r="H29" s="9">
        <v>2250</v>
      </c>
      <c r="I29" s="9">
        <f t="shared" si="17"/>
        <v>4500</v>
      </c>
      <c r="J29" s="8">
        <v>46143</v>
      </c>
      <c r="K29" s="7">
        <v>46265</v>
      </c>
      <c r="L29" t="s">
        <v>245</v>
      </c>
      <c r="N29" t="str">
        <f>IF(ISNUMBER(MATCH(L29,dim_produits!$C:$C,0)),"OK","MANQUANT")</f>
        <v>OK</v>
      </c>
    </row>
    <row r="30" spans="1:14">
      <c r="A30">
        <f t="shared" si="4"/>
        <v>29</v>
      </c>
      <c r="B30" s="1">
        <v>1</v>
      </c>
      <c r="C30" s="1">
        <f>IFERROR(_xlfn.XLOOKUP(L30,dim_produits!$C:$C,dim_produits!$A:$A,""),"")</f>
        <v>39</v>
      </c>
      <c r="D30" s="18">
        <f t="shared" si="5"/>
        <v>0.41666666666666669</v>
      </c>
      <c r="E30" s="1">
        <v>12</v>
      </c>
      <c r="F30" s="1">
        <v>5</v>
      </c>
      <c r="G30" s="19">
        <f t="shared" si="18"/>
        <v>900</v>
      </c>
      <c r="H30" s="9">
        <v>75</v>
      </c>
      <c r="I30" s="9">
        <f t="shared" si="17"/>
        <v>375</v>
      </c>
      <c r="J30" s="8">
        <v>46143</v>
      </c>
      <c r="K30" s="7">
        <v>46265</v>
      </c>
      <c r="L30" t="s">
        <v>246</v>
      </c>
      <c r="N30" t="str">
        <f>IF(ISNUMBER(MATCH(L30,dim_produits!$C:$C,0)),"OK","MANQUANT")</f>
        <v>OK</v>
      </c>
    </row>
    <row r="31" spans="1:14">
      <c r="A31">
        <f t="shared" si="4"/>
        <v>30</v>
      </c>
      <c r="B31" s="1">
        <v>1</v>
      </c>
      <c r="C31" s="1">
        <f>IFERROR(_xlfn.XLOOKUP(L31,dim_produits!$C:$C,dim_produits!$A:$A,""),"")</f>
        <v>105</v>
      </c>
      <c r="D31" s="18">
        <f t="shared" si="5"/>
        <v>0.58333333333333337</v>
      </c>
      <c r="E31" s="1">
        <v>12</v>
      </c>
      <c r="F31" s="1">
        <v>7</v>
      </c>
      <c r="G31" s="19">
        <f t="shared" si="18"/>
        <v>360</v>
      </c>
      <c r="H31" s="9">
        <v>30</v>
      </c>
      <c r="I31" s="9">
        <f t="shared" si="17"/>
        <v>210</v>
      </c>
      <c r="J31" s="8">
        <v>46143</v>
      </c>
      <c r="K31" s="7">
        <v>46265</v>
      </c>
      <c r="L31" t="s">
        <v>351</v>
      </c>
      <c r="N31" t="str">
        <f>IF(ISNUMBER(MATCH(L31,dim_produits!$C:$C,0)),"OK","MANQUANT")</f>
        <v>OK</v>
      </c>
    </row>
    <row r="32" spans="1:14">
      <c r="A32">
        <f t="shared" si="4"/>
        <v>31</v>
      </c>
      <c r="B32">
        <v>2</v>
      </c>
      <c r="C32" s="1">
        <f>IFERROR(_xlfn.XLOOKUP(L32,dim_produits!$C:$C,dim_produits!$A:$A,""),"")</f>
        <v>9</v>
      </c>
      <c r="D32">
        <v>3</v>
      </c>
      <c r="E32">
        <v>12</v>
      </c>
      <c r="F32">
        <f t="shared" ref="F32:F55" si="19">D32*E32</f>
        <v>36</v>
      </c>
      <c r="G32" s="10">
        <v>7200</v>
      </c>
      <c r="H32" s="10">
        <f t="shared" ref="H32" si="20">G32/E32</f>
        <v>600</v>
      </c>
      <c r="I32" s="82">
        <f t="shared" ref="I32" si="21">G32*D32</f>
        <v>21600</v>
      </c>
      <c r="J32" s="8">
        <v>46143</v>
      </c>
      <c r="K32" s="7">
        <v>46265</v>
      </c>
      <c r="L32" t="s">
        <v>222</v>
      </c>
      <c r="N32" t="str">
        <f>IF(ISNUMBER(MATCH(L32,dim_produits!$C:$C,0)),"OK","MANQUANT")</f>
        <v>OK</v>
      </c>
    </row>
    <row r="33" spans="1:14">
      <c r="A33">
        <f t="shared" si="4"/>
        <v>32</v>
      </c>
      <c r="B33">
        <v>2</v>
      </c>
      <c r="C33" s="1">
        <f>IFERROR(_xlfn.XLOOKUP(L33,dim_produits!$C:$C,dim_produits!$A:$A,""),"")</f>
        <v>11</v>
      </c>
      <c r="D33">
        <v>2</v>
      </c>
      <c r="E33">
        <v>12</v>
      </c>
      <c r="F33">
        <f t="shared" si="19"/>
        <v>24</v>
      </c>
      <c r="G33" s="10">
        <v>7200</v>
      </c>
      <c r="H33" s="10">
        <f t="shared" ref="H33:H37" si="22">G33/E33</f>
        <v>600</v>
      </c>
      <c r="I33" s="82">
        <f t="shared" ref="I33:I37" si="23">G33*D33</f>
        <v>14400</v>
      </c>
      <c r="J33" s="8">
        <v>46143</v>
      </c>
      <c r="K33" s="7">
        <v>46265</v>
      </c>
      <c r="L33" t="s">
        <v>223</v>
      </c>
      <c r="N33" t="str">
        <f>IF(ISNUMBER(MATCH(L33,dim_produits!$C:$C,0)),"OK","MANQUANT")</f>
        <v>OK</v>
      </c>
    </row>
    <row r="34" spans="1:14">
      <c r="A34">
        <f t="shared" si="4"/>
        <v>33</v>
      </c>
      <c r="B34">
        <v>2</v>
      </c>
      <c r="C34" s="1">
        <f>IFERROR(_xlfn.XLOOKUP(L34,dim_produits!$C:$C,dim_produits!$A:$A,""),"")</f>
        <v>53</v>
      </c>
      <c r="D34">
        <v>2</v>
      </c>
      <c r="E34">
        <v>12</v>
      </c>
      <c r="F34">
        <f t="shared" si="19"/>
        <v>24</v>
      </c>
      <c r="G34" s="10">
        <v>7200</v>
      </c>
      <c r="H34" s="10">
        <f t="shared" si="22"/>
        <v>600</v>
      </c>
      <c r="I34" s="82">
        <f t="shared" si="23"/>
        <v>14400</v>
      </c>
      <c r="J34" s="8">
        <v>46143</v>
      </c>
      <c r="K34" s="7">
        <v>46265</v>
      </c>
      <c r="L34" t="s">
        <v>370</v>
      </c>
      <c r="N34" t="str">
        <f>IF(ISNUMBER(MATCH(L34,dim_produits!$C:$C,0)),"OK","MANQUANT")</f>
        <v>OK</v>
      </c>
    </row>
    <row r="35" spans="1:14">
      <c r="A35">
        <f t="shared" si="4"/>
        <v>34</v>
      </c>
      <c r="B35">
        <v>2</v>
      </c>
      <c r="C35" s="1">
        <f>IFERROR(_xlfn.XLOOKUP(L35,dim_produits!$C:$C,dim_produits!$A:$A,""),"")</f>
        <v>54</v>
      </c>
      <c r="D35">
        <v>2</v>
      </c>
      <c r="E35">
        <v>24</v>
      </c>
      <c r="F35">
        <f t="shared" si="19"/>
        <v>48</v>
      </c>
      <c r="G35" s="10">
        <v>14300</v>
      </c>
      <c r="H35" s="10">
        <f t="shared" si="22"/>
        <v>595.83333333333337</v>
      </c>
      <c r="I35" s="82">
        <f t="shared" si="23"/>
        <v>28600</v>
      </c>
      <c r="J35" s="8">
        <v>46143</v>
      </c>
      <c r="K35" s="7">
        <v>46265</v>
      </c>
      <c r="L35" t="s">
        <v>235</v>
      </c>
      <c r="N35" t="str">
        <f>IF(ISNUMBER(MATCH(L35,dim_produits!$C:$C,0)),"OK","MANQUANT")</f>
        <v>OK</v>
      </c>
    </row>
    <row r="36" spans="1:14">
      <c r="A36">
        <f t="shared" si="4"/>
        <v>35</v>
      </c>
      <c r="B36">
        <v>2</v>
      </c>
      <c r="C36" s="1">
        <f>IFERROR(_xlfn.XLOOKUP(L36,dim_produits!$C:$C,dim_produits!$A:$A,""),"")</f>
        <v>16</v>
      </c>
      <c r="D36">
        <v>2</v>
      </c>
      <c r="E36">
        <v>12</v>
      </c>
      <c r="F36">
        <f t="shared" si="19"/>
        <v>24</v>
      </c>
      <c r="G36" s="10">
        <v>7200</v>
      </c>
      <c r="H36" s="10">
        <f t="shared" si="22"/>
        <v>600</v>
      </c>
      <c r="I36" s="82">
        <f t="shared" si="23"/>
        <v>14400</v>
      </c>
      <c r="J36" s="8">
        <v>46143</v>
      </c>
      <c r="K36" s="7">
        <v>46265</v>
      </c>
      <c r="L36" t="s">
        <v>419</v>
      </c>
      <c r="N36" t="str">
        <f>IF(ISNUMBER(MATCH(L36,dim_produits!$C:$C,0)),"OK","MANQUANT")</f>
        <v>OK</v>
      </c>
    </row>
    <row r="37" spans="1:14">
      <c r="A37">
        <f t="shared" si="4"/>
        <v>36</v>
      </c>
      <c r="B37">
        <v>2</v>
      </c>
      <c r="C37" s="1">
        <f>IFERROR(_xlfn.XLOOKUP(L37,dim_produits!$C:$C,dim_produits!$A:$A,""),"")</f>
        <v>17</v>
      </c>
      <c r="D37">
        <v>1</v>
      </c>
      <c r="E37">
        <v>12</v>
      </c>
      <c r="F37">
        <f t="shared" si="19"/>
        <v>12</v>
      </c>
      <c r="G37" s="10">
        <v>5400</v>
      </c>
      <c r="H37" s="10">
        <f t="shared" si="22"/>
        <v>450</v>
      </c>
      <c r="I37" s="82">
        <f t="shared" si="23"/>
        <v>5400</v>
      </c>
      <c r="J37" s="8">
        <v>46143</v>
      </c>
      <c r="K37" s="7">
        <v>46265</v>
      </c>
      <c r="L37" t="s">
        <v>225</v>
      </c>
      <c r="N37" t="str">
        <f>IF(ISNUMBER(MATCH(L37,dim_produits!$C:$C,0)),"OK","MANQUANT")</f>
        <v>OK</v>
      </c>
    </row>
    <row r="38" spans="1:14">
      <c r="A38">
        <f t="shared" si="4"/>
        <v>37</v>
      </c>
      <c r="B38">
        <v>3</v>
      </c>
      <c r="C38" s="1">
        <f>IFERROR(_xlfn.XLOOKUP(L38,dim_produits!$C:$C,dim_produits!$A:$A,""),"")</f>
        <v>54</v>
      </c>
      <c r="D38">
        <v>2</v>
      </c>
      <c r="E38">
        <v>24</v>
      </c>
      <c r="F38">
        <f t="shared" si="19"/>
        <v>48</v>
      </c>
      <c r="G38" s="10">
        <v>14300</v>
      </c>
      <c r="H38" s="10">
        <f t="shared" ref="H38" si="24">G38/E38</f>
        <v>595.83333333333337</v>
      </c>
      <c r="I38" s="81">
        <f t="shared" ref="I38" si="25">G38*D38</f>
        <v>28600</v>
      </c>
      <c r="J38" s="8">
        <v>46143</v>
      </c>
      <c r="K38" s="7">
        <v>46265</v>
      </c>
      <c r="L38" t="s">
        <v>235</v>
      </c>
      <c r="N38" t="str">
        <f>IF(ISNUMBER(MATCH(L38,dim_produits!$C:$C,0)),"OK","MANQUANT")</f>
        <v>OK</v>
      </c>
    </row>
    <row r="39" spans="1:14">
      <c r="A39">
        <f t="shared" si="4"/>
        <v>38</v>
      </c>
      <c r="B39">
        <v>3</v>
      </c>
      <c r="C39" s="1">
        <f>IFERROR(_xlfn.XLOOKUP(L39,dim_produits!$C:$C,dim_produits!$A:$A,""),"")</f>
        <v>51</v>
      </c>
      <c r="D39">
        <v>2</v>
      </c>
      <c r="E39">
        <v>12</v>
      </c>
      <c r="F39">
        <f t="shared" si="19"/>
        <v>24</v>
      </c>
      <c r="G39" s="10">
        <v>11900</v>
      </c>
      <c r="H39" s="10">
        <f t="shared" ref="H39:H43" si="26">G39/E39</f>
        <v>991.66666666666663</v>
      </c>
      <c r="I39" s="81">
        <f t="shared" ref="I39:I43" si="27">G39*D39</f>
        <v>23800</v>
      </c>
      <c r="J39" s="8">
        <v>46143</v>
      </c>
      <c r="K39" s="7">
        <v>46265</v>
      </c>
      <c r="L39" t="s">
        <v>236</v>
      </c>
      <c r="N39" t="str">
        <f>IF(ISNUMBER(MATCH(L39,dim_produits!$C:$C,0)),"OK","MANQUANT")</f>
        <v>OK</v>
      </c>
    </row>
    <row r="40" spans="1:14">
      <c r="A40">
        <f t="shared" si="4"/>
        <v>39</v>
      </c>
      <c r="B40">
        <v>3</v>
      </c>
      <c r="C40" s="1">
        <f>IFERROR(_xlfn.XLOOKUP(L40,dim_produits!$C:$C,dim_produits!$A:$A,""),"")</f>
        <v>53</v>
      </c>
      <c r="D40">
        <v>3</v>
      </c>
      <c r="E40">
        <v>12</v>
      </c>
      <c r="F40">
        <f t="shared" si="19"/>
        <v>36</v>
      </c>
      <c r="G40" s="10">
        <v>7200</v>
      </c>
      <c r="H40" s="10">
        <f t="shared" si="26"/>
        <v>600</v>
      </c>
      <c r="I40" s="81">
        <f t="shared" si="27"/>
        <v>21600</v>
      </c>
      <c r="J40" s="8">
        <v>46143</v>
      </c>
      <c r="K40" s="7">
        <v>46265</v>
      </c>
      <c r="L40" t="s">
        <v>370</v>
      </c>
      <c r="N40" t="str">
        <f>IF(ISNUMBER(MATCH(L40,dim_produits!$C:$C,0)),"OK","MANQUANT")</f>
        <v>OK</v>
      </c>
    </row>
    <row r="41" spans="1:14">
      <c r="A41">
        <f t="shared" si="4"/>
        <v>40</v>
      </c>
      <c r="B41">
        <v>3</v>
      </c>
      <c r="C41" s="1">
        <f>IFERROR(_xlfn.XLOOKUP(L41,dim_produits!$C:$C,dim_produits!$A:$A,""),"")</f>
        <v>52</v>
      </c>
      <c r="D41">
        <v>1</v>
      </c>
      <c r="E41">
        <v>24</v>
      </c>
      <c r="F41">
        <f t="shared" si="19"/>
        <v>24</v>
      </c>
      <c r="G41" s="10">
        <v>11300</v>
      </c>
      <c r="H41" s="10">
        <f t="shared" si="26"/>
        <v>470.83333333333331</v>
      </c>
      <c r="I41" s="81">
        <f t="shared" si="27"/>
        <v>11300</v>
      </c>
      <c r="J41" s="8">
        <v>46143</v>
      </c>
      <c r="K41" s="7">
        <v>46265</v>
      </c>
      <c r="L41" t="s">
        <v>237</v>
      </c>
      <c r="N41" t="str">
        <f>IF(ISNUMBER(MATCH(L41,dim_produits!$C:$C,0)),"OK","MANQUANT")</f>
        <v>OK</v>
      </c>
    </row>
    <row r="42" spans="1:14">
      <c r="A42">
        <f t="shared" si="4"/>
        <v>41</v>
      </c>
      <c r="B42">
        <v>3</v>
      </c>
      <c r="C42" s="1">
        <f>IFERROR(_xlfn.XLOOKUP(L42,dim_produits!$C:$C,dim_produits!$A:$A,""),"")</f>
        <v>56</v>
      </c>
      <c r="D42">
        <v>2</v>
      </c>
      <c r="E42">
        <v>15</v>
      </c>
      <c r="F42">
        <f t="shared" si="19"/>
        <v>30</v>
      </c>
      <c r="G42" s="10">
        <v>9750</v>
      </c>
      <c r="H42" s="10">
        <f t="shared" si="26"/>
        <v>650</v>
      </c>
      <c r="I42" s="81">
        <f t="shared" si="27"/>
        <v>19500</v>
      </c>
      <c r="J42" s="8">
        <v>46143</v>
      </c>
      <c r="K42" s="7">
        <v>46265</v>
      </c>
      <c r="L42" t="s">
        <v>238</v>
      </c>
      <c r="N42" t="str">
        <f>IF(ISNUMBER(MATCH(L42,dim_produits!$C:$C,0)),"OK","MANQUANT")</f>
        <v>OK</v>
      </c>
    </row>
    <row r="43" spans="1:14">
      <c r="A43">
        <f t="shared" si="4"/>
        <v>42</v>
      </c>
      <c r="B43">
        <v>3</v>
      </c>
      <c r="C43" s="1">
        <f>IFERROR(_xlfn.XLOOKUP(L43,dim_produits!$C:$C,dim_produits!$A:$A,""),"")</f>
        <v>14</v>
      </c>
      <c r="D43">
        <v>1</v>
      </c>
      <c r="E43">
        <v>24</v>
      </c>
      <c r="F43">
        <f t="shared" si="19"/>
        <v>24</v>
      </c>
      <c r="G43" s="10">
        <v>13300</v>
      </c>
      <c r="H43" s="10">
        <f t="shared" si="26"/>
        <v>554.16666666666663</v>
      </c>
      <c r="I43" s="81">
        <f t="shared" si="27"/>
        <v>13300</v>
      </c>
      <c r="J43" s="8">
        <v>46143</v>
      </c>
      <c r="K43" s="7">
        <v>46265</v>
      </c>
      <c r="L43" t="s">
        <v>373</v>
      </c>
      <c r="N43" t="str">
        <f>IF(ISNUMBER(MATCH(L43,dim_produits!$C:$C,0)),"OK","MANQUANT")</f>
        <v>OK</v>
      </c>
    </row>
    <row r="44" spans="1:14">
      <c r="A44">
        <f t="shared" si="4"/>
        <v>43</v>
      </c>
      <c r="B44">
        <v>4</v>
      </c>
      <c r="C44" s="1">
        <f>IFERROR(_xlfn.XLOOKUP(L44,dim_produits!$C:$C,dim_produits!$A:$A,""),"")</f>
        <v>17</v>
      </c>
      <c r="D44">
        <v>2</v>
      </c>
      <c r="E44">
        <v>12</v>
      </c>
      <c r="F44">
        <f t="shared" si="19"/>
        <v>24</v>
      </c>
      <c r="G44" s="10">
        <v>5400</v>
      </c>
      <c r="H44" s="10">
        <f t="shared" ref="H44" si="28">G44/E44</f>
        <v>450</v>
      </c>
      <c r="I44" s="82">
        <f t="shared" ref="I44" si="29">G44*D44</f>
        <v>10800</v>
      </c>
      <c r="J44" s="8">
        <v>46143</v>
      </c>
      <c r="K44" s="7">
        <v>46265</v>
      </c>
      <c r="L44" t="s">
        <v>225</v>
      </c>
      <c r="N44" t="str">
        <f>IF(ISNUMBER(MATCH(L44,dim_produits!$C:$C,0)),"OK","MANQUANT")</f>
        <v>OK</v>
      </c>
    </row>
    <row r="45" spans="1:14">
      <c r="A45">
        <f t="shared" si="4"/>
        <v>44</v>
      </c>
      <c r="B45">
        <v>4</v>
      </c>
      <c r="C45" s="1">
        <f>IFERROR(_xlfn.XLOOKUP(L45,dim_produits!$C:$C,dim_produits!$A:$A,""),"")</f>
        <v>9</v>
      </c>
      <c r="D45">
        <v>1</v>
      </c>
      <c r="E45">
        <v>12</v>
      </c>
      <c r="F45">
        <f t="shared" si="19"/>
        <v>12</v>
      </c>
      <c r="G45" s="10">
        <v>7200</v>
      </c>
      <c r="H45" s="10">
        <f t="shared" ref="H45:H46" si="30">G45/E45</f>
        <v>600</v>
      </c>
      <c r="I45" s="82">
        <f t="shared" ref="I45:I46" si="31">G45*D45</f>
        <v>7200</v>
      </c>
      <c r="J45" s="8">
        <v>46143</v>
      </c>
      <c r="K45" s="7">
        <v>46265</v>
      </c>
      <c r="L45" t="s">
        <v>222</v>
      </c>
      <c r="N45" t="str">
        <f>IF(ISNUMBER(MATCH(L45,dim_produits!$C:$C,0)),"OK","MANQUANT")</f>
        <v>OK</v>
      </c>
    </row>
    <row r="46" spans="1:14">
      <c r="A46">
        <f t="shared" si="4"/>
        <v>45</v>
      </c>
      <c r="B46">
        <v>4</v>
      </c>
      <c r="C46" s="1">
        <f>IFERROR(_xlfn.XLOOKUP(L46,dim_produits!$C:$C,dim_produits!$A:$A,""),"")</f>
        <v>10</v>
      </c>
      <c r="D46">
        <v>1</v>
      </c>
      <c r="E46">
        <v>12</v>
      </c>
      <c r="F46">
        <f t="shared" si="19"/>
        <v>12</v>
      </c>
      <c r="G46" s="10">
        <v>6600</v>
      </c>
      <c r="H46" s="10">
        <f t="shared" si="30"/>
        <v>550</v>
      </c>
      <c r="I46" s="82">
        <f t="shared" si="31"/>
        <v>6600</v>
      </c>
      <c r="J46" s="8">
        <v>46143</v>
      </c>
      <c r="K46" s="7">
        <v>46265</v>
      </c>
      <c r="L46" t="s">
        <v>227</v>
      </c>
      <c r="N46" t="str">
        <f>IF(ISNUMBER(MATCH(L46,dim_produits!$C:$C,0)),"OK","MANQUANT")</f>
        <v>OK</v>
      </c>
    </row>
    <row r="47" spans="1:14">
      <c r="A47">
        <f t="shared" si="4"/>
        <v>46</v>
      </c>
      <c r="B47">
        <v>5</v>
      </c>
      <c r="C47" s="1">
        <f>IFERROR(_xlfn.XLOOKUP(L47,dim_produits!$C:$C,dim_produits!$A:$A,""),"")</f>
        <v>7</v>
      </c>
      <c r="D47">
        <v>1</v>
      </c>
      <c r="E47">
        <v>12</v>
      </c>
      <c r="F47">
        <f t="shared" si="19"/>
        <v>12</v>
      </c>
      <c r="G47" s="10">
        <v>7200</v>
      </c>
      <c r="H47" s="10">
        <f t="shared" ref="H47:H59" si="32">G47/E47</f>
        <v>600</v>
      </c>
      <c r="I47" s="83">
        <f t="shared" ref="I47:I66" si="33">G47*D47</f>
        <v>7200</v>
      </c>
      <c r="J47" s="8">
        <v>46143</v>
      </c>
      <c r="K47" s="7">
        <v>46265</v>
      </c>
      <c r="L47" t="s">
        <v>220</v>
      </c>
      <c r="N47" t="str">
        <f>IF(ISNUMBER(MATCH(L47,dim_produits!$C:$C,0)),"OK","MANQUANT")</f>
        <v>OK</v>
      </c>
    </row>
    <row r="48" spans="1:14">
      <c r="A48">
        <f t="shared" si="4"/>
        <v>47</v>
      </c>
      <c r="B48">
        <v>5</v>
      </c>
      <c r="C48" s="1">
        <f>IFERROR(_xlfn.XLOOKUP(L48,dim_produits!$C:$C,dim_produits!$A:$A,""),"")</f>
        <v>18</v>
      </c>
      <c r="D48">
        <v>1</v>
      </c>
      <c r="E48">
        <v>12</v>
      </c>
      <c r="F48">
        <f t="shared" si="19"/>
        <v>12</v>
      </c>
      <c r="G48" s="10">
        <v>7800</v>
      </c>
      <c r="H48" s="10">
        <f t="shared" ref="H48:H52" si="34">G48/E48</f>
        <v>650</v>
      </c>
      <c r="I48" s="83">
        <f t="shared" ref="I48:I52" si="35">G48*D48</f>
        <v>7800</v>
      </c>
      <c r="J48" s="8">
        <v>46143</v>
      </c>
      <c r="K48" s="7">
        <v>46265</v>
      </c>
      <c r="L48" t="s">
        <v>228</v>
      </c>
      <c r="N48" t="str">
        <f>IF(ISNUMBER(MATCH(L48,dim_produits!$C:$C,0)),"OK","MANQUANT")</f>
        <v>OK</v>
      </c>
    </row>
    <row r="49" spans="1:14">
      <c r="A49">
        <f t="shared" si="4"/>
        <v>48</v>
      </c>
      <c r="B49">
        <v>5</v>
      </c>
      <c r="C49" s="1">
        <f>IFERROR(_xlfn.XLOOKUP(L49,dim_produits!$C:$C,dim_produits!$A:$A,""),"")</f>
        <v>9</v>
      </c>
      <c r="D49">
        <v>3</v>
      </c>
      <c r="E49">
        <v>12</v>
      </c>
      <c r="F49">
        <f t="shared" si="19"/>
        <v>36</v>
      </c>
      <c r="G49" s="10">
        <v>7800</v>
      </c>
      <c r="H49" s="10">
        <f t="shared" si="34"/>
        <v>650</v>
      </c>
      <c r="I49" s="83">
        <f t="shared" si="35"/>
        <v>23400</v>
      </c>
      <c r="J49" s="8">
        <v>46143</v>
      </c>
      <c r="K49" s="7">
        <v>46265</v>
      </c>
      <c r="L49" t="s">
        <v>222</v>
      </c>
      <c r="N49" t="str">
        <f>IF(ISNUMBER(MATCH(L49,dim_produits!$C:$C,0)),"OK","MANQUANT")</f>
        <v>OK</v>
      </c>
    </row>
    <row r="50" spans="1:14">
      <c r="A50">
        <f t="shared" si="4"/>
        <v>49</v>
      </c>
      <c r="B50">
        <v>5</v>
      </c>
      <c r="C50" s="1">
        <f>IFERROR(_xlfn.XLOOKUP(L50,dim_produits!$C:$C,dim_produits!$A:$A,""),"")</f>
        <v>16</v>
      </c>
      <c r="D50">
        <v>2</v>
      </c>
      <c r="E50">
        <v>12</v>
      </c>
      <c r="F50">
        <f t="shared" si="19"/>
        <v>24</v>
      </c>
      <c r="G50" s="10">
        <v>7800</v>
      </c>
      <c r="H50" s="10">
        <f t="shared" si="34"/>
        <v>650</v>
      </c>
      <c r="I50" s="83">
        <f t="shared" si="35"/>
        <v>15600</v>
      </c>
      <c r="J50" s="8">
        <v>46143</v>
      </c>
      <c r="K50" s="7">
        <v>46265</v>
      </c>
      <c r="L50" s="14" t="s">
        <v>419</v>
      </c>
      <c r="N50" t="str">
        <f>IF(ISNUMBER(MATCH(L50,dim_produits!$C:$C,0)),"OK","MANQUANT")</f>
        <v>OK</v>
      </c>
    </row>
    <row r="51" spans="1:14">
      <c r="A51">
        <f t="shared" si="4"/>
        <v>50</v>
      </c>
      <c r="B51">
        <v>5</v>
      </c>
      <c r="C51" s="1">
        <f>IFERROR(_xlfn.XLOOKUP(L51,dim_produits!$C:$C,dim_produits!$A:$A,""),"")</f>
        <v>12</v>
      </c>
      <c r="D51">
        <v>1</v>
      </c>
      <c r="E51">
        <v>12</v>
      </c>
      <c r="F51">
        <f t="shared" si="19"/>
        <v>12</v>
      </c>
      <c r="G51" s="10">
        <v>7800</v>
      </c>
      <c r="H51" s="10">
        <f t="shared" si="34"/>
        <v>650</v>
      </c>
      <c r="I51" s="83">
        <f t="shared" si="35"/>
        <v>7800</v>
      </c>
      <c r="J51" s="8">
        <v>46143</v>
      </c>
      <c r="K51" s="7">
        <v>46265</v>
      </c>
      <c r="L51" t="s">
        <v>229</v>
      </c>
      <c r="N51" t="str">
        <f>IF(ISNUMBER(MATCH(L51,dim_produits!$C:$C,0)),"OK","MANQUANT")</f>
        <v>OK</v>
      </c>
    </row>
    <row r="52" spans="1:14">
      <c r="A52">
        <f t="shared" si="4"/>
        <v>51</v>
      </c>
      <c r="B52">
        <v>5</v>
      </c>
      <c r="C52" s="1">
        <f>IFERROR(_xlfn.XLOOKUP(L52,dim_produits!$C:$C,dim_produits!$A:$A,""),"")</f>
        <v>15</v>
      </c>
      <c r="D52">
        <v>1</v>
      </c>
      <c r="E52">
        <v>12</v>
      </c>
      <c r="F52">
        <f t="shared" si="19"/>
        <v>12</v>
      </c>
      <c r="G52" s="10">
        <v>8900</v>
      </c>
      <c r="H52" s="10">
        <f t="shared" si="34"/>
        <v>741.66666666666663</v>
      </c>
      <c r="I52" s="83">
        <f t="shared" si="35"/>
        <v>8900</v>
      </c>
      <c r="J52" s="8">
        <v>46143</v>
      </c>
      <c r="K52" s="7">
        <v>46265</v>
      </c>
      <c r="L52" t="s">
        <v>230</v>
      </c>
      <c r="N52" t="str">
        <f>IF(ISNUMBER(MATCH(L52,dim_produits!$C:$C,0)),"OK","MANQUANT")</f>
        <v>OK</v>
      </c>
    </row>
    <row r="53" spans="1:14">
      <c r="A53">
        <f t="shared" si="4"/>
        <v>52</v>
      </c>
      <c r="B53">
        <v>6</v>
      </c>
      <c r="C53" s="1">
        <f>IFERROR(_xlfn.XLOOKUP(L53,dim_produits!$C:$C,dim_produits!$A:$A,""),"")</f>
        <v>9</v>
      </c>
      <c r="D53">
        <v>3</v>
      </c>
      <c r="E53">
        <v>12</v>
      </c>
      <c r="F53">
        <f t="shared" si="19"/>
        <v>36</v>
      </c>
      <c r="G53" s="10">
        <v>7200</v>
      </c>
      <c r="H53" s="10">
        <f t="shared" si="32"/>
        <v>600</v>
      </c>
      <c r="I53" s="84">
        <f t="shared" si="33"/>
        <v>21600</v>
      </c>
      <c r="J53" s="8">
        <v>46143</v>
      </c>
      <c r="K53" s="7">
        <v>46265</v>
      </c>
      <c r="L53" t="s">
        <v>222</v>
      </c>
      <c r="N53" t="str">
        <f>IF(ISNUMBER(MATCH(L53,dim_produits!$C:$C,0)),"OK","MANQUANT")</f>
        <v>OK</v>
      </c>
    </row>
    <row r="54" spans="1:14">
      <c r="A54">
        <f t="shared" si="4"/>
        <v>53</v>
      </c>
      <c r="B54">
        <v>6</v>
      </c>
      <c r="C54" s="1">
        <f>IFERROR(_xlfn.XLOOKUP(L54,dim_produits!$C:$C,dim_produits!$A:$A,""),"")</f>
        <v>16</v>
      </c>
      <c r="D54">
        <v>2</v>
      </c>
      <c r="E54">
        <v>12</v>
      </c>
      <c r="F54">
        <f t="shared" si="19"/>
        <v>24</v>
      </c>
      <c r="G54" s="10">
        <v>7200</v>
      </c>
      <c r="H54" s="10">
        <f t="shared" ref="H54:H58" si="36">G54/E54</f>
        <v>600</v>
      </c>
      <c r="I54" s="84">
        <f t="shared" ref="I54:I58" si="37">G54*D54</f>
        <v>14400</v>
      </c>
      <c r="J54" s="8">
        <v>46143</v>
      </c>
      <c r="K54" s="7">
        <v>46265</v>
      </c>
      <c r="L54" t="s">
        <v>419</v>
      </c>
      <c r="N54" t="str">
        <f>IF(ISNUMBER(MATCH(L54,dim_produits!$C:$C,0)),"OK","MANQUANT")</f>
        <v>OK</v>
      </c>
    </row>
    <row r="55" spans="1:14">
      <c r="A55">
        <f t="shared" si="4"/>
        <v>54</v>
      </c>
      <c r="B55">
        <v>6</v>
      </c>
      <c r="C55" s="1">
        <f>IFERROR(_xlfn.XLOOKUP(L55,dim_produits!$C:$C,dim_produits!$A:$A,""),"")</f>
        <v>15</v>
      </c>
      <c r="D55">
        <v>1</v>
      </c>
      <c r="E55">
        <v>12</v>
      </c>
      <c r="F55">
        <f t="shared" si="19"/>
        <v>12</v>
      </c>
      <c r="G55" s="10">
        <v>8300</v>
      </c>
      <c r="H55" s="10">
        <f t="shared" si="36"/>
        <v>691.66666666666663</v>
      </c>
      <c r="I55" s="84">
        <f t="shared" si="37"/>
        <v>8300</v>
      </c>
      <c r="J55" s="8">
        <v>46143</v>
      </c>
      <c r="K55" s="7">
        <v>46265</v>
      </c>
      <c r="L55" t="s">
        <v>230</v>
      </c>
      <c r="N55" t="str">
        <f>IF(ISNUMBER(MATCH(L55,dim_produits!$C:$C,0)),"OK","MANQUANT")</f>
        <v>OK</v>
      </c>
    </row>
    <row r="56" spans="1:14">
      <c r="A56">
        <f t="shared" si="4"/>
        <v>55</v>
      </c>
      <c r="B56">
        <v>6</v>
      </c>
      <c r="C56" s="1">
        <f>IFERROR(_xlfn.XLOOKUP(L56,dim_produits!$C:$C,dim_produits!$A:$A,""),"")</f>
        <v>17</v>
      </c>
      <c r="D56">
        <v>2</v>
      </c>
      <c r="E56">
        <v>12</v>
      </c>
      <c r="F56">
        <f t="shared" ref="F56:F120" si="38">D56*E56</f>
        <v>24</v>
      </c>
      <c r="G56" s="10">
        <v>5400</v>
      </c>
      <c r="H56" s="10">
        <f t="shared" si="36"/>
        <v>450</v>
      </c>
      <c r="I56" s="84">
        <f t="shared" si="37"/>
        <v>10800</v>
      </c>
      <c r="J56" s="8">
        <v>46143</v>
      </c>
      <c r="K56" s="7">
        <v>46265</v>
      </c>
      <c r="L56" t="s">
        <v>225</v>
      </c>
      <c r="N56" t="str">
        <f>IF(ISNUMBER(MATCH(L56,dim_produits!$C:$C,0)),"OK","MANQUANT")</f>
        <v>OK</v>
      </c>
    </row>
    <row r="57" spans="1:14">
      <c r="A57">
        <f t="shared" si="4"/>
        <v>56</v>
      </c>
      <c r="B57">
        <v>6</v>
      </c>
      <c r="C57" s="1">
        <f>IFERROR(_xlfn.XLOOKUP(L57,dim_produits!$C:$C,dim_produits!$A:$A,""),"")</f>
        <v>11</v>
      </c>
      <c r="D57">
        <v>1</v>
      </c>
      <c r="E57">
        <v>12</v>
      </c>
      <c r="F57">
        <f t="shared" si="38"/>
        <v>12</v>
      </c>
      <c r="G57" s="10">
        <v>7200</v>
      </c>
      <c r="H57" s="10">
        <f t="shared" si="36"/>
        <v>600</v>
      </c>
      <c r="I57" s="84">
        <f t="shared" si="37"/>
        <v>7200</v>
      </c>
      <c r="J57" s="8">
        <v>46143</v>
      </c>
      <c r="K57" s="7">
        <v>46265</v>
      </c>
      <c r="L57" t="s">
        <v>223</v>
      </c>
      <c r="N57" t="str">
        <f>IF(ISNUMBER(MATCH(L57,dim_produits!$C:$C,0)),"OK","MANQUANT")</f>
        <v>OK</v>
      </c>
    </row>
    <row r="58" spans="1:14">
      <c r="A58">
        <f t="shared" si="4"/>
        <v>57</v>
      </c>
      <c r="B58">
        <v>6</v>
      </c>
      <c r="C58" s="1">
        <f>IFERROR(_xlfn.XLOOKUP(L58,dim_produits!$C:$C,dim_produits!$A:$A,""),"")</f>
        <v>10</v>
      </c>
      <c r="D58">
        <v>0.5</v>
      </c>
      <c r="E58">
        <v>12</v>
      </c>
      <c r="F58">
        <f t="shared" si="38"/>
        <v>6</v>
      </c>
      <c r="G58" s="10">
        <v>6600</v>
      </c>
      <c r="H58" s="10">
        <f t="shared" si="36"/>
        <v>550</v>
      </c>
      <c r="I58" s="84">
        <f t="shared" si="37"/>
        <v>3300</v>
      </c>
      <c r="J58" s="8">
        <v>46143</v>
      </c>
      <c r="K58" s="7">
        <v>46265</v>
      </c>
      <c r="L58" t="s">
        <v>227</v>
      </c>
      <c r="N58" t="str">
        <f>IF(ISNUMBER(MATCH(L58,dim_produits!$C:$C,0)),"OK","MANQUANT")</f>
        <v>OK</v>
      </c>
    </row>
    <row r="59" spans="1:14">
      <c r="A59">
        <f t="shared" si="4"/>
        <v>58</v>
      </c>
      <c r="B59">
        <v>7</v>
      </c>
      <c r="C59" s="1">
        <f>IFERROR(_xlfn.XLOOKUP(L59,dim_produits!$C:$C,dim_produits!$A:$A,""),"")</f>
        <v>9</v>
      </c>
      <c r="D59">
        <v>5</v>
      </c>
      <c r="E59">
        <v>12</v>
      </c>
      <c r="F59">
        <f t="shared" si="38"/>
        <v>60</v>
      </c>
      <c r="G59" s="10">
        <v>7200</v>
      </c>
      <c r="H59" s="10">
        <f t="shared" si="32"/>
        <v>600</v>
      </c>
      <c r="I59" s="10">
        <f t="shared" si="33"/>
        <v>36000</v>
      </c>
      <c r="J59" s="8">
        <v>46143</v>
      </c>
      <c r="K59" s="7">
        <v>46265</v>
      </c>
      <c r="L59" t="s">
        <v>222</v>
      </c>
      <c r="N59" t="str">
        <f>IF(ISNUMBER(MATCH(L59,dim_produits!$C:$C,0)),"OK","MANQUANT")</f>
        <v>OK</v>
      </c>
    </row>
    <row r="60" spans="1:14">
      <c r="A60">
        <f t="shared" si="4"/>
        <v>59</v>
      </c>
      <c r="B60">
        <v>7</v>
      </c>
      <c r="C60" s="1">
        <f>IFERROR(_xlfn.XLOOKUP(L60,dim_produits!$C:$C,dim_produits!$A:$A,""),"")</f>
        <v>7</v>
      </c>
      <c r="D60">
        <v>3</v>
      </c>
      <c r="E60">
        <v>12</v>
      </c>
      <c r="F60">
        <f t="shared" si="38"/>
        <v>36</v>
      </c>
      <c r="G60" s="10">
        <v>7385</v>
      </c>
      <c r="H60" s="10">
        <f t="shared" ref="H60:H65" si="39">G60/E60</f>
        <v>615.41666666666663</v>
      </c>
      <c r="I60" s="10">
        <f t="shared" ref="I60:I65" si="40">G60*D60</f>
        <v>22155</v>
      </c>
      <c r="J60" s="8">
        <v>46143</v>
      </c>
      <c r="K60" s="7">
        <v>46265</v>
      </c>
      <c r="L60" t="s">
        <v>220</v>
      </c>
      <c r="N60" t="str">
        <f>IF(ISNUMBER(MATCH(L60,dim_produits!$C:$C,0)),"OK","MANQUANT")</f>
        <v>OK</v>
      </c>
    </row>
    <row r="61" spans="1:14">
      <c r="A61">
        <f t="shared" si="4"/>
        <v>60</v>
      </c>
      <c r="B61">
        <v>7</v>
      </c>
      <c r="C61" s="1">
        <f>IFERROR(_xlfn.XLOOKUP(L61,dim_produits!$C:$C,dim_produits!$A:$A,""),"")</f>
        <v>16</v>
      </c>
      <c r="D61">
        <v>4</v>
      </c>
      <c r="E61">
        <v>12</v>
      </c>
      <c r="F61">
        <f t="shared" si="38"/>
        <v>48</v>
      </c>
      <c r="G61" s="10">
        <v>7200</v>
      </c>
      <c r="H61" s="10">
        <f t="shared" si="39"/>
        <v>600</v>
      </c>
      <c r="I61" s="10">
        <f t="shared" si="40"/>
        <v>28800</v>
      </c>
      <c r="J61" s="8">
        <v>46143</v>
      </c>
      <c r="K61" s="7">
        <v>46265</v>
      </c>
      <c r="L61" t="s">
        <v>419</v>
      </c>
      <c r="N61" t="str">
        <f>IF(ISNUMBER(MATCH(L61,dim_produits!$C:$C,0)),"OK","MANQUANT")</f>
        <v>OK</v>
      </c>
    </row>
    <row r="62" spans="1:14">
      <c r="A62">
        <f t="shared" si="4"/>
        <v>61</v>
      </c>
      <c r="B62">
        <v>7</v>
      </c>
      <c r="C62" s="1">
        <f>IFERROR(_xlfn.XLOOKUP(L62,dim_produits!$C:$C,dim_produits!$A:$A,""),"")</f>
        <v>17</v>
      </c>
      <c r="D62">
        <v>1</v>
      </c>
      <c r="E62">
        <v>12</v>
      </c>
      <c r="F62">
        <f t="shared" si="38"/>
        <v>12</v>
      </c>
      <c r="G62" s="10">
        <v>5400</v>
      </c>
      <c r="H62" s="10">
        <f t="shared" si="39"/>
        <v>450</v>
      </c>
      <c r="I62" s="10">
        <f t="shared" si="40"/>
        <v>5400</v>
      </c>
      <c r="J62" s="8">
        <v>46143</v>
      </c>
      <c r="K62" s="7">
        <v>46265</v>
      </c>
      <c r="L62" t="s">
        <v>225</v>
      </c>
      <c r="N62" t="str">
        <f>IF(ISNUMBER(MATCH(L62,dim_produits!$C:$C,0)),"OK","MANQUANT")</f>
        <v>OK</v>
      </c>
    </row>
    <row r="63" spans="1:14">
      <c r="A63">
        <f t="shared" si="4"/>
        <v>62</v>
      </c>
      <c r="B63">
        <v>7</v>
      </c>
      <c r="C63" s="1">
        <f>IFERROR(_xlfn.XLOOKUP(L63,dim_produits!$C:$C,dim_produits!$A:$A,""),"")</f>
        <v>12</v>
      </c>
      <c r="D63">
        <v>1</v>
      </c>
      <c r="E63">
        <v>12</v>
      </c>
      <c r="F63">
        <f t="shared" si="38"/>
        <v>12</v>
      </c>
      <c r="G63" s="10">
        <v>7200</v>
      </c>
      <c r="H63" s="10">
        <f t="shared" si="39"/>
        <v>600</v>
      </c>
      <c r="I63" s="10">
        <f t="shared" si="40"/>
        <v>7200</v>
      </c>
      <c r="J63" s="8">
        <v>46143</v>
      </c>
      <c r="K63" s="7">
        <v>46265</v>
      </c>
      <c r="L63" t="s">
        <v>229</v>
      </c>
      <c r="N63" t="str">
        <f>IF(ISNUMBER(MATCH(L63,dim_produits!$C:$C,0)),"OK","MANQUANT")</f>
        <v>OK</v>
      </c>
    </row>
    <row r="64" spans="1:14">
      <c r="A64">
        <f t="shared" si="4"/>
        <v>63</v>
      </c>
      <c r="B64">
        <v>7</v>
      </c>
      <c r="C64" s="1">
        <f>IFERROR(_xlfn.XLOOKUP(L64,dim_produits!$C:$C,dim_produits!$A:$A,""),"")</f>
        <v>18</v>
      </c>
      <c r="D64">
        <v>1</v>
      </c>
      <c r="E64">
        <v>12</v>
      </c>
      <c r="F64">
        <f t="shared" si="38"/>
        <v>12</v>
      </c>
      <c r="G64" s="10">
        <v>7200</v>
      </c>
      <c r="H64" s="10">
        <f t="shared" si="39"/>
        <v>600</v>
      </c>
      <c r="I64" s="10">
        <f t="shared" si="40"/>
        <v>7200</v>
      </c>
      <c r="J64" s="8">
        <v>46143</v>
      </c>
      <c r="K64" s="7">
        <v>46265</v>
      </c>
      <c r="L64" t="s">
        <v>228</v>
      </c>
      <c r="N64" t="str">
        <f>IF(ISNUMBER(MATCH(L64,dim_produits!$C:$C,0)),"OK","MANQUANT")</f>
        <v>OK</v>
      </c>
    </row>
    <row r="65" spans="1:14">
      <c r="A65">
        <f t="shared" si="4"/>
        <v>64</v>
      </c>
      <c r="B65">
        <v>7</v>
      </c>
      <c r="C65" s="1">
        <f>IFERROR(_xlfn.XLOOKUP(L65,dim_produits!$C:$C,dim_produits!$A:$A,""),"")</f>
        <v>30</v>
      </c>
      <c r="D65">
        <v>15</v>
      </c>
      <c r="E65">
        <v>12</v>
      </c>
      <c r="F65">
        <f t="shared" si="38"/>
        <v>180</v>
      </c>
      <c r="G65" s="10">
        <v>2400</v>
      </c>
      <c r="H65" s="10">
        <f t="shared" si="39"/>
        <v>200</v>
      </c>
      <c r="I65" s="10">
        <f t="shared" si="40"/>
        <v>36000</v>
      </c>
      <c r="J65" s="8">
        <v>46143</v>
      </c>
      <c r="K65" s="7">
        <v>46265</v>
      </c>
      <c r="L65" t="s">
        <v>254</v>
      </c>
      <c r="N65" t="str">
        <f>IF(ISNUMBER(MATCH(L65,dim_produits!$C:$C,0)),"OK","MANQUANT")</f>
        <v>OK</v>
      </c>
    </row>
    <row r="66" spans="1:14">
      <c r="A66">
        <f t="shared" si="4"/>
        <v>65</v>
      </c>
      <c r="B66">
        <v>8</v>
      </c>
      <c r="C66" s="1">
        <f>IFERROR(_xlfn.XLOOKUP(L66,dim_produits!$C:$C,dim_produits!$A:$A,""),"")</f>
        <v>7</v>
      </c>
      <c r="D66">
        <v>3</v>
      </c>
      <c r="E66">
        <v>12</v>
      </c>
      <c r="F66">
        <f>D66*E66</f>
        <v>36</v>
      </c>
      <c r="G66" s="10">
        <v>7385</v>
      </c>
      <c r="H66" s="10">
        <f t="shared" ref="H66:H81" si="41">G66/E66</f>
        <v>615.41666666666663</v>
      </c>
      <c r="I66" s="80">
        <f t="shared" si="33"/>
        <v>22155</v>
      </c>
      <c r="J66" s="8">
        <v>46143</v>
      </c>
      <c r="K66" s="7">
        <v>46265</v>
      </c>
      <c r="L66" t="s">
        <v>220</v>
      </c>
      <c r="N66" t="str">
        <f>IF(ISNUMBER(MATCH(L66,dim_produits!$C:$C,0)),"OK","MANQUANT")</f>
        <v>OK</v>
      </c>
    </row>
    <row r="67" spans="1:14">
      <c r="A67">
        <f t="shared" si="4"/>
        <v>66</v>
      </c>
      <c r="B67">
        <v>8</v>
      </c>
      <c r="C67" s="1">
        <f>IFERROR(_xlfn.XLOOKUP(L67,dim_produits!$C:$C,dim_produits!$A:$A,""),"")</f>
        <v>9</v>
      </c>
      <c r="D67">
        <v>3</v>
      </c>
      <c r="E67">
        <v>12</v>
      </c>
      <c r="F67">
        <f t="shared" si="38"/>
        <v>36</v>
      </c>
      <c r="G67" s="10">
        <v>7200</v>
      </c>
      <c r="H67" s="10">
        <f t="shared" ref="H67:H76" si="42">G67/E67</f>
        <v>600</v>
      </c>
      <c r="I67" s="80">
        <f t="shared" ref="I67:I76" si="43">G67*D67</f>
        <v>21600</v>
      </c>
      <c r="J67" s="8">
        <v>46143</v>
      </c>
      <c r="K67" s="7">
        <v>46265</v>
      </c>
      <c r="L67" t="s">
        <v>222</v>
      </c>
      <c r="N67" t="str">
        <f>IF(ISNUMBER(MATCH(L67,dim_produits!$C:$C,0)),"OK","MANQUANT")</f>
        <v>OK</v>
      </c>
    </row>
    <row r="68" spans="1:14">
      <c r="A68">
        <f t="shared" si="4"/>
        <v>67</v>
      </c>
      <c r="B68">
        <v>8</v>
      </c>
      <c r="C68" s="1">
        <f>IFERROR(_xlfn.XLOOKUP(L68,dim_produits!$C:$C,dim_produits!$A:$A,""),"")</f>
        <v>54</v>
      </c>
      <c r="D68">
        <v>2</v>
      </c>
      <c r="E68">
        <v>24</v>
      </c>
      <c r="F68">
        <f t="shared" si="38"/>
        <v>48</v>
      </c>
      <c r="G68" s="10">
        <v>14300</v>
      </c>
      <c r="H68" s="10">
        <f t="shared" si="42"/>
        <v>595.83333333333337</v>
      </c>
      <c r="I68" s="80">
        <f t="shared" si="43"/>
        <v>28600</v>
      </c>
      <c r="J68" s="8">
        <v>46143</v>
      </c>
      <c r="K68" s="7">
        <v>46265</v>
      </c>
      <c r="L68" t="s">
        <v>235</v>
      </c>
      <c r="N68" t="str">
        <f>IF(ISNUMBER(MATCH(L68,dim_produits!$C:$C,0)),"OK","MANQUANT")</f>
        <v>OK</v>
      </c>
    </row>
    <row r="69" spans="1:14">
      <c r="A69">
        <f t="shared" si="4"/>
        <v>68</v>
      </c>
      <c r="B69">
        <v>8</v>
      </c>
      <c r="C69" s="1">
        <f>IFERROR(_xlfn.XLOOKUP(L69,dim_produits!$C:$C,dim_produits!$A:$A,""),"")</f>
        <v>52</v>
      </c>
      <c r="D69">
        <v>1</v>
      </c>
      <c r="E69">
        <v>24</v>
      </c>
      <c r="F69">
        <f t="shared" si="38"/>
        <v>24</v>
      </c>
      <c r="G69" s="10">
        <v>11200</v>
      </c>
      <c r="H69" s="10">
        <f t="shared" si="42"/>
        <v>466.66666666666669</v>
      </c>
      <c r="I69" s="80">
        <f t="shared" si="43"/>
        <v>11200</v>
      </c>
      <c r="J69" s="8">
        <v>46143</v>
      </c>
      <c r="K69" s="7">
        <v>46265</v>
      </c>
      <c r="L69" t="s">
        <v>237</v>
      </c>
      <c r="N69" t="str">
        <f>IF(ISNUMBER(MATCH(L69,dim_produits!$C:$C,0)),"OK","MANQUANT")</f>
        <v>OK</v>
      </c>
    </row>
    <row r="70" spans="1:14">
      <c r="A70">
        <f t="shared" ref="A70:A133" si="44">A69+1</f>
        <v>69</v>
      </c>
      <c r="B70">
        <v>8</v>
      </c>
      <c r="C70" s="1">
        <f>IFERROR(_xlfn.XLOOKUP(L70,dim_produits!$C:$C,dim_produits!$A:$A,""),"")</f>
        <v>11</v>
      </c>
      <c r="D70">
        <v>2</v>
      </c>
      <c r="E70">
        <v>24</v>
      </c>
      <c r="F70">
        <f t="shared" si="38"/>
        <v>48</v>
      </c>
      <c r="G70" s="10">
        <v>7200</v>
      </c>
      <c r="H70" s="10">
        <f t="shared" si="42"/>
        <v>300</v>
      </c>
      <c r="I70" s="80">
        <f t="shared" si="43"/>
        <v>14400</v>
      </c>
      <c r="J70" s="8">
        <v>46143</v>
      </c>
      <c r="K70" s="7">
        <v>46265</v>
      </c>
      <c r="L70" t="s">
        <v>223</v>
      </c>
      <c r="N70" t="str">
        <f>IF(ISNUMBER(MATCH(L70,dim_produits!$C:$C,0)),"OK","MANQUANT")</f>
        <v>OK</v>
      </c>
    </row>
    <row r="71" spans="1:14">
      <c r="A71">
        <f t="shared" si="44"/>
        <v>70</v>
      </c>
      <c r="B71">
        <v>8</v>
      </c>
      <c r="C71" s="1">
        <f>IFERROR(_xlfn.XLOOKUP(L71,dim_produits!$C:$C,dim_produits!$A:$A,""),"")</f>
        <v>84</v>
      </c>
      <c r="D71">
        <v>1</v>
      </c>
      <c r="E71">
        <v>6</v>
      </c>
      <c r="F71">
        <f t="shared" si="38"/>
        <v>6</v>
      </c>
      <c r="G71" s="10">
        <v>3500</v>
      </c>
      <c r="H71" s="10">
        <f t="shared" si="42"/>
        <v>583.33333333333337</v>
      </c>
      <c r="I71" s="80">
        <f t="shared" si="43"/>
        <v>3500</v>
      </c>
      <c r="J71" s="8">
        <v>46143</v>
      </c>
      <c r="K71" s="7">
        <v>46265</v>
      </c>
      <c r="L71" t="s">
        <v>209</v>
      </c>
      <c r="N71" t="str">
        <f>IF(ISNUMBER(MATCH(L71,dim_produits!$C:$C,0)),"OK","MANQUANT")</f>
        <v>OK</v>
      </c>
    </row>
    <row r="72" spans="1:14">
      <c r="A72">
        <f t="shared" si="44"/>
        <v>71</v>
      </c>
      <c r="B72">
        <v>8</v>
      </c>
      <c r="C72" s="1">
        <f>IFERROR(_xlfn.XLOOKUP(L72,dim_produits!$C:$C,dim_produits!$A:$A,""),"")</f>
        <v>72</v>
      </c>
      <c r="D72">
        <v>1</v>
      </c>
      <c r="E72">
        <v>6</v>
      </c>
      <c r="F72">
        <f>D72*E72</f>
        <v>6</v>
      </c>
      <c r="G72" s="10">
        <v>2500</v>
      </c>
      <c r="H72" s="10">
        <f t="shared" si="42"/>
        <v>416.66666666666669</v>
      </c>
      <c r="I72" s="80">
        <f t="shared" si="43"/>
        <v>2500</v>
      </c>
      <c r="J72" s="8">
        <v>46143</v>
      </c>
      <c r="K72" s="7">
        <v>46265</v>
      </c>
      <c r="L72" t="s">
        <v>195</v>
      </c>
      <c r="N72" t="str">
        <f>IF(ISNUMBER(MATCH(L72,dim_produits!$C:$C,0)),"OK","MANQUANT")</f>
        <v>OK</v>
      </c>
    </row>
    <row r="73" spans="1:14">
      <c r="A73">
        <f t="shared" si="44"/>
        <v>72</v>
      </c>
      <c r="B73">
        <v>8</v>
      </c>
      <c r="C73" s="1">
        <f>IFERROR(_xlfn.XLOOKUP(L73,dim_produits!$C:$C,dim_produits!$A:$A,""),"")</f>
        <v>86</v>
      </c>
      <c r="D73">
        <v>1</v>
      </c>
      <c r="E73">
        <v>6</v>
      </c>
      <c r="F73">
        <f t="shared" si="38"/>
        <v>6</v>
      </c>
      <c r="G73" s="10">
        <v>2500</v>
      </c>
      <c r="H73" s="10">
        <f t="shared" si="42"/>
        <v>416.66666666666669</v>
      </c>
      <c r="I73" s="80">
        <f t="shared" si="43"/>
        <v>2500</v>
      </c>
      <c r="J73" s="8">
        <v>46143</v>
      </c>
      <c r="K73" s="7">
        <v>46265</v>
      </c>
      <c r="L73" t="s">
        <v>407</v>
      </c>
      <c r="N73" t="str">
        <f>IF(ISNUMBER(MATCH(L73,dim_produits!$C:$C,0)),"OK","MANQUANT")</f>
        <v>OK</v>
      </c>
    </row>
    <row r="74" spans="1:14">
      <c r="A74">
        <f t="shared" si="44"/>
        <v>73</v>
      </c>
      <c r="B74">
        <v>8</v>
      </c>
      <c r="C74" s="1">
        <f>IFERROR(_xlfn.XLOOKUP(L74,dim_produits!$C:$C,dim_produits!$A:$A,""),"")</f>
        <v>74</v>
      </c>
      <c r="D74">
        <v>1</v>
      </c>
      <c r="E74">
        <v>6</v>
      </c>
      <c r="F74">
        <f t="shared" si="38"/>
        <v>6</v>
      </c>
      <c r="G74" s="10">
        <v>4200</v>
      </c>
      <c r="H74" s="10">
        <f t="shared" si="42"/>
        <v>700</v>
      </c>
      <c r="I74" s="80">
        <f t="shared" si="43"/>
        <v>4200</v>
      </c>
      <c r="J74" s="8">
        <v>46143</v>
      </c>
      <c r="K74" s="7">
        <v>46265</v>
      </c>
      <c r="L74" t="s">
        <v>198</v>
      </c>
      <c r="N74" t="str">
        <f>IF(ISNUMBER(MATCH(L74,dim_produits!$C:$C,0)),"OK","MANQUANT")</f>
        <v>OK</v>
      </c>
    </row>
    <row r="75" spans="1:14">
      <c r="A75">
        <f t="shared" si="44"/>
        <v>74</v>
      </c>
      <c r="B75">
        <v>8</v>
      </c>
      <c r="C75" s="1">
        <f>IFERROR(_xlfn.XLOOKUP(L75,dim_produits!$C:$C,dim_produits!$A:$A,""),"")</f>
        <v>18</v>
      </c>
      <c r="D75">
        <v>2</v>
      </c>
      <c r="E75">
        <v>12</v>
      </c>
      <c r="F75">
        <f t="shared" si="38"/>
        <v>24</v>
      </c>
      <c r="G75" s="10">
        <v>7200</v>
      </c>
      <c r="H75" s="10">
        <f t="shared" si="42"/>
        <v>600</v>
      </c>
      <c r="I75" s="80">
        <f t="shared" si="43"/>
        <v>14400</v>
      </c>
      <c r="J75" s="8">
        <v>46143</v>
      </c>
      <c r="K75" s="7">
        <v>46265</v>
      </c>
      <c r="L75" t="s">
        <v>228</v>
      </c>
      <c r="N75" t="str">
        <f>IF(ISNUMBER(MATCH(L75,dim_produits!$C:$C,0)),"OK","MANQUANT")</f>
        <v>OK</v>
      </c>
    </row>
    <row r="76" spans="1:14">
      <c r="A76">
        <f t="shared" si="44"/>
        <v>75</v>
      </c>
      <c r="B76">
        <v>8</v>
      </c>
      <c r="C76" s="1">
        <f>IFERROR(_xlfn.XLOOKUP(L76,dim_produits!$C:$C,dim_produits!$A:$A,""),"")</f>
        <v>71</v>
      </c>
      <c r="D76">
        <v>1</v>
      </c>
      <c r="E76">
        <v>6</v>
      </c>
      <c r="F76">
        <f t="shared" si="38"/>
        <v>6</v>
      </c>
      <c r="G76" s="10">
        <v>2500</v>
      </c>
      <c r="H76" s="10">
        <f t="shared" si="42"/>
        <v>416.66666666666669</v>
      </c>
      <c r="I76" s="80">
        <f t="shared" si="43"/>
        <v>2500</v>
      </c>
      <c r="J76" s="8">
        <v>46143</v>
      </c>
      <c r="K76" s="7">
        <v>46265</v>
      </c>
      <c r="L76" t="s">
        <v>194</v>
      </c>
      <c r="N76" t="str">
        <f>IF(ISNUMBER(MATCH(L76,dim_produits!$C:$C,0)),"OK","MANQUANT")</f>
        <v>OK</v>
      </c>
    </row>
    <row r="77" spans="1:14">
      <c r="A77">
        <f t="shared" si="44"/>
        <v>76</v>
      </c>
      <c r="B77">
        <v>9</v>
      </c>
      <c r="C77" s="1">
        <f>IFERROR(_xlfn.XLOOKUP(L77,dim_produits!$C:$C,dim_produits!$A:$A,""),"")</f>
        <v>7</v>
      </c>
      <c r="D77">
        <v>2</v>
      </c>
      <c r="E77">
        <v>12</v>
      </c>
      <c r="F77">
        <f t="shared" si="38"/>
        <v>24</v>
      </c>
      <c r="G77" s="10">
        <v>7200</v>
      </c>
      <c r="H77" s="10">
        <f t="shared" si="41"/>
        <v>600</v>
      </c>
      <c r="I77" s="78">
        <f t="shared" ref="I77" si="45">G77*D77</f>
        <v>14400</v>
      </c>
      <c r="J77" s="8">
        <v>46143</v>
      </c>
      <c r="K77" s="7">
        <v>46265</v>
      </c>
      <c r="L77" t="s">
        <v>220</v>
      </c>
      <c r="N77" t="str">
        <f>IF(ISNUMBER(MATCH(L77,dim_produits!$C:$C,0)),"OK","MANQUANT")</f>
        <v>OK</v>
      </c>
    </row>
    <row r="78" spans="1:14">
      <c r="A78">
        <f t="shared" si="44"/>
        <v>77</v>
      </c>
      <c r="B78">
        <v>9</v>
      </c>
      <c r="C78" s="1">
        <f>IFERROR(_xlfn.XLOOKUP(L78,dim_produits!$C:$C,dim_produits!$A:$A,""),"")</f>
        <v>10</v>
      </c>
      <c r="D78">
        <v>2</v>
      </c>
      <c r="E78">
        <v>12</v>
      </c>
      <c r="F78">
        <f t="shared" si="38"/>
        <v>24</v>
      </c>
      <c r="G78" s="10">
        <v>7150</v>
      </c>
      <c r="H78" s="10">
        <f t="shared" ref="H78:H80" si="46">G78/E78</f>
        <v>595.83333333333337</v>
      </c>
      <c r="I78" s="78">
        <f t="shared" ref="I78:I80" si="47">G78*D78</f>
        <v>14300</v>
      </c>
      <c r="J78" s="8">
        <v>46143</v>
      </c>
      <c r="K78" s="7">
        <v>46265</v>
      </c>
      <c r="L78" t="s">
        <v>227</v>
      </c>
      <c r="N78" t="str">
        <f>IF(ISNUMBER(MATCH(L78,dim_produits!$C:$C,0)),"OK","MANQUANT")</f>
        <v>OK</v>
      </c>
    </row>
    <row r="79" spans="1:14">
      <c r="A79">
        <f t="shared" si="44"/>
        <v>78</v>
      </c>
      <c r="B79">
        <v>9</v>
      </c>
      <c r="C79" s="1">
        <f>IFERROR(_xlfn.XLOOKUP(L79,dim_produits!$C:$C,dim_produits!$A:$A,""),"")</f>
        <v>17</v>
      </c>
      <c r="D79">
        <v>3</v>
      </c>
      <c r="E79">
        <v>12</v>
      </c>
      <c r="F79">
        <f>D79*E79</f>
        <v>36</v>
      </c>
      <c r="G79" s="10">
        <v>5400</v>
      </c>
      <c r="H79" s="10">
        <f t="shared" si="46"/>
        <v>450</v>
      </c>
      <c r="I79" s="78">
        <f t="shared" si="47"/>
        <v>16200</v>
      </c>
      <c r="J79" s="8">
        <v>46143</v>
      </c>
      <c r="K79" s="7">
        <v>46265</v>
      </c>
      <c r="L79" t="s">
        <v>225</v>
      </c>
      <c r="N79" t="str">
        <f>IF(ISNUMBER(MATCH(L79,dim_produits!$C:$C,0)),"OK","MANQUANT")</f>
        <v>OK</v>
      </c>
    </row>
    <row r="80" spans="1:14">
      <c r="A80">
        <f t="shared" si="44"/>
        <v>79</v>
      </c>
      <c r="B80">
        <v>9</v>
      </c>
      <c r="C80" s="1">
        <f>IFERROR(_xlfn.XLOOKUP(L80,dim_produits!$C:$C,dim_produits!$A:$A,""),"")</f>
        <v>9</v>
      </c>
      <c r="D80">
        <v>1</v>
      </c>
      <c r="E80">
        <v>12</v>
      </c>
      <c r="F80">
        <f t="shared" si="38"/>
        <v>12</v>
      </c>
      <c r="G80" s="10">
        <v>7200</v>
      </c>
      <c r="H80" s="10">
        <f t="shared" si="46"/>
        <v>600</v>
      </c>
      <c r="I80" s="78">
        <f t="shared" si="47"/>
        <v>7200</v>
      </c>
      <c r="J80" s="8">
        <v>46143</v>
      </c>
      <c r="K80" s="7">
        <v>46265</v>
      </c>
      <c r="L80" t="s">
        <v>222</v>
      </c>
      <c r="N80" t="str">
        <f>IF(ISNUMBER(MATCH(L80,dim_produits!$C:$C,0)),"OK","MANQUANT")</f>
        <v>OK</v>
      </c>
    </row>
    <row r="81" spans="1:14">
      <c r="A81">
        <f t="shared" si="44"/>
        <v>80</v>
      </c>
      <c r="B81">
        <v>10</v>
      </c>
      <c r="C81" s="1">
        <f>IFERROR(_xlfn.XLOOKUP(L81,dim_produits!$C:$C,dim_produits!$A:$A,""),"")</f>
        <v>93</v>
      </c>
      <c r="D81">
        <v>3</v>
      </c>
      <c r="E81">
        <v>12</v>
      </c>
      <c r="F81">
        <f t="shared" si="38"/>
        <v>36</v>
      </c>
      <c r="G81" s="10">
        <v>4960</v>
      </c>
      <c r="H81" s="10">
        <f t="shared" si="41"/>
        <v>413.33333333333331</v>
      </c>
      <c r="I81" s="10">
        <f t="shared" ref="I81" si="48">G81*D81</f>
        <v>14880</v>
      </c>
      <c r="J81" s="8">
        <v>46143</v>
      </c>
      <c r="K81" s="7">
        <v>46265</v>
      </c>
      <c r="L81" t="s">
        <v>372</v>
      </c>
      <c r="N81" t="str">
        <f>IF(ISNUMBER(MATCH(L81,dim_produits!$C:$C,0)),"OK","MANQUANT")</f>
        <v>OK</v>
      </c>
    </row>
    <row r="82" spans="1:14">
      <c r="A82">
        <f t="shared" si="44"/>
        <v>81</v>
      </c>
      <c r="B82">
        <v>10</v>
      </c>
      <c r="C82" s="1">
        <f>IFERROR(_xlfn.XLOOKUP(L82,dim_produits!$C:$C,dim_produits!$A:$A,""),"")</f>
        <v>92</v>
      </c>
      <c r="D82">
        <v>2</v>
      </c>
      <c r="E82">
        <v>12</v>
      </c>
      <c r="F82">
        <f t="shared" si="38"/>
        <v>24</v>
      </c>
      <c r="G82" s="10">
        <v>4960</v>
      </c>
      <c r="H82" s="10">
        <f t="shared" ref="H82:H93" si="49">G82/E82</f>
        <v>413.33333333333331</v>
      </c>
      <c r="I82" s="10">
        <f t="shared" ref="I82:I93" si="50">G82*D82</f>
        <v>9920</v>
      </c>
      <c r="J82" s="8">
        <v>46143</v>
      </c>
      <c r="K82" s="7">
        <v>46265</v>
      </c>
      <c r="L82" t="s">
        <v>375</v>
      </c>
      <c r="N82" t="str">
        <f>IF(ISNUMBER(MATCH(L82,dim_produits!$C:$C,0)),"OK","MANQUANT")</f>
        <v>OK</v>
      </c>
    </row>
    <row r="83" spans="1:14">
      <c r="A83">
        <f t="shared" si="44"/>
        <v>82</v>
      </c>
      <c r="B83">
        <v>11</v>
      </c>
      <c r="C83" s="1">
        <f>IFERROR(_xlfn.XLOOKUP(L83,dim_produits!$C:$C,dim_produits!$A:$A,""),"")</f>
        <v>54</v>
      </c>
      <c r="D83">
        <v>3</v>
      </c>
      <c r="E83">
        <v>24</v>
      </c>
      <c r="F83">
        <f t="shared" si="38"/>
        <v>72</v>
      </c>
      <c r="G83" s="10">
        <v>14300</v>
      </c>
      <c r="H83" s="10">
        <f t="shared" si="49"/>
        <v>595.83333333333337</v>
      </c>
      <c r="I83" s="10">
        <f t="shared" si="50"/>
        <v>42900</v>
      </c>
      <c r="J83" s="8">
        <v>46143</v>
      </c>
      <c r="K83" s="7">
        <v>46265</v>
      </c>
      <c r="L83" t="s">
        <v>235</v>
      </c>
      <c r="N83" t="str">
        <f>IF(ISNUMBER(MATCH(L83,dim_produits!$C:$C,0)),"OK","MANQUANT")</f>
        <v>OK</v>
      </c>
    </row>
    <row r="84" spans="1:14">
      <c r="A84">
        <f t="shared" si="44"/>
        <v>83</v>
      </c>
      <c r="B84">
        <v>11</v>
      </c>
      <c r="C84" s="1">
        <f>IFERROR(_xlfn.XLOOKUP(L84,dim_produits!$C:$C,dim_produits!$A:$A,""),"")</f>
        <v>52</v>
      </c>
      <c r="D84">
        <v>5</v>
      </c>
      <c r="E84">
        <v>24</v>
      </c>
      <c r="F84">
        <f t="shared" si="38"/>
        <v>120</v>
      </c>
      <c r="G84" s="10">
        <v>11300</v>
      </c>
      <c r="H84" s="10">
        <f t="shared" si="49"/>
        <v>470.83333333333331</v>
      </c>
      <c r="I84" s="10">
        <f t="shared" si="50"/>
        <v>56500</v>
      </c>
      <c r="J84" s="8">
        <v>46143</v>
      </c>
      <c r="K84" s="7">
        <v>46265</v>
      </c>
      <c r="L84" t="s">
        <v>237</v>
      </c>
      <c r="N84" t="str">
        <f>IF(ISNUMBER(MATCH(L84,dim_produits!$C:$C,0)),"OK","MANQUANT")</f>
        <v>OK</v>
      </c>
    </row>
    <row r="85" spans="1:14">
      <c r="A85">
        <f t="shared" si="44"/>
        <v>84</v>
      </c>
      <c r="B85">
        <v>11</v>
      </c>
      <c r="C85" s="1">
        <f>IFERROR(_xlfn.XLOOKUP(L85,dim_produits!$C:$C,dim_produits!$A:$A,""),"")</f>
        <v>14</v>
      </c>
      <c r="D85">
        <v>4</v>
      </c>
      <c r="E85">
        <v>24</v>
      </c>
      <c r="F85">
        <f t="shared" si="38"/>
        <v>96</v>
      </c>
      <c r="G85" s="10">
        <v>13300</v>
      </c>
      <c r="H85" s="10">
        <f t="shared" si="49"/>
        <v>554.16666666666663</v>
      </c>
      <c r="I85" s="10">
        <f t="shared" si="50"/>
        <v>53200</v>
      </c>
      <c r="J85" s="8">
        <v>46143</v>
      </c>
      <c r="K85" s="7">
        <v>46265</v>
      </c>
      <c r="L85" t="s">
        <v>373</v>
      </c>
      <c r="N85" t="str">
        <f>IF(ISNUMBER(MATCH(L85,dim_produits!$C:$C,0)),"OK","MANQUANT")</f>
        <v>OK</v>
      </c>
    </row>
    <row r="86" spans="1:14">
      <c r="A86">
        <f t="shared" si="44"/>
        <v>85</v>
      </c>
      <c r="B86">
        <v>11</v>
      </c>
      <c r="C86" s="1">
        <f>IFERROR(_xlfn.XLOOKUP(L86,dim_produits!$C:$C,dim_produits!$A:$A,""),"")</f>
        <v>56</v>
      </c>
      <c r="D86">
        <v>2</v>
      </c>
      <c r="E86">
        <v>12</v>
      </c>
      <c r="F86">
        <f t="shared" si="38"/>
        <v>24</v>
      </c>
      <c r="G86" s="10">
        <v>10400</v>
      </c>
      <c r="H86" s="10">
        <f t="shared" si="49"/>
        <v>866.66666666666663</v>
      </c>
      <c r="I86" s="10">
        <f t="shared" si="50"/>
        <v>20800</v>
      </c>
      <c r="J86" s="8">
        <v>46143</v>
      </c>
      <c r="K86" s="7">
        <v>46265</v>
      </c>
      <c r="L86" t="s">
        <v>238</v>
      </c>
      <c r="N86" t="str">
        <f>IF(ISNUMBER(MATCH(L86,dim_produits!$C:$C,0)),"OK","MANQUANT")</f>
        <v>OK</v>
      </c>
    </row>
    <row r="87" spans="1:14">
      <c r="A87">
        <f t="shared" si="44"/>
        <v>86</v>
      </c>
      <c r="B87">
        <v>11</v>
      </c>
      <c r="C87" s="1">
        <f>IFERROR(_xlfn.XLOOKUP(L87,dim_produits!$C:$C,dim_produits!$A:$A,""),"")</f>
        <v>53</v>
      </c>
      <c r="D87">
        <v>7</v>
      </c>
      <c r="E87">
        <v>12</v>
      </c>
      <c r="F87">
        <f>D87*E87</f>
        <v>84</v>
      </c>
      <c r="G87" s="10">
        <v>7200</v>
      </c>
      <c r="H87" s="10">
        <f t="shared" si="49"/>
        <v>600</v>
      </c>
      <c r="I87" s="10">
        <f t="shared" si="50"/>
        <v>50400</v>
      </c>
      <c r="J87" s="8">
        <v>46143</v>
      </c>
      <c r="K87" s="7">
        <v>46265</v>
      </c>
      <c r="L87" t="s">
        <v>370</v>
      </c>
      <c r="N87" t="str">
        <f>IF(ISNUMBER(MATCH(L87,dim_produits!$C:$C,0)),"OK","MANQUANT")</f>
        <v>OK</v>
      </c>
    </row>
    <row r="88" spans="1:14">
      <c r="A88">
        <f t="shared" si="44"/>
        <v>87</v>
      </c>
      <c r="B88">
        <v>11</v>
      </c>
      <c r="C88" s="1">
        <f>IFERROR(_xlfn.XLOOKUP(L88,dim_produits!$C:$C,dim_produits!$A:$A,""),"")</f>
        <v>51</v>
      </c>
      <c r="D88">
        <v>1</v>
      </c>
      <c r="E88">
        <v>12</v>
      </c>
      <c r="F88">
        <f t="shared" si="38"/>
        <v>12</v>
      </c>
      <c r="G88" s="10">
        <v>11900</v>
      </c>
      <c r="H88" s="10">
        <f t="shared" si="49"/>
        <v>991.66666666666663</v>
      </c>
      <c r="I88" s="10">
        <f t="shared" si="50"/>
        <v>11900</v>
      </c>
      <c r="J88" s="8">
        <v>46143</v>
      </c>
      <c r="K88" s="7">
        <v>46265</v>
      </c>
      <c r="L88" t="s">
        <v>236</v>
      </c>
      <c r="N88" t="str">
        <f>IF(ISNUMBER(MATCH(L88,dim_produits!$C:$C,0)),"OK","MANQUANT")</f>
        <v>OK</v>
      </c>
    </row>
    <row r="89" spans="1:14">
      <c r="A89">
        <f t="shared" si="44"/>
        <v>88</v>
      </c>
      <c r="B89">
        <v>11</v>
      </c>
      <c r="C89" s="1">
        <f>IFERROR(_xlfn.XLOOKUP(L89,dim_produits!$C:$C,dim_produits!$A:$A,""),"")</f>
        <v>15</v>
      </c>
      <c r="D89">
        <v>3</v>
      </c>
      <c r="E89">
        <v>12</v>
      </c>
      <c r="F89">
        <f t="shared" si="38"/>
        <v>36</v>
      </c>
      <c r="G89" s="10">
        <v>8300</v>
      </c>
      <c r="H89" s="10">
        <f t="shared" si="49"/>
        <v>691.66666666666663</v>
      </c>
      <c r="I89" s="10">
        <f t="shared" si="50"/>
        <v>24900</v>
      </c>
      <c r="J89" s="8">
        <v>46143</v>
      </c>
      <c r="K89" s="7">
        <v>46265</v>
      </c>
      <c r="L89" t="s">
        <v>230</v>
      </c>
      <c r="N89" t="str">
        <f>IF(ISNUMBER(MATCH(L89,dim_produits!$C:$C,0)),"OK","MANQUANT")</f>
        <v>OK</v>
      </c>
    </row>
    <row r="90" spans="1:14">
      <c r="A90">
        <f t="shared" si="44"/>
        <v>89</v>
      </c>
      <c r="B90">
        <v>11</v>
      </c>
      <c r="C90" s="1">
        <f>IFERROR(_xlfn.XLOOKUP(L90,dim_produits!$C:$C,dim_produits!$A:$A,""),"")</f>
        <v>12</v>
      </c>
      <c r="D90">
        <v>3</v>
      </c>
      <c r="E90">
        <v>12</v>
      </c>
      <c r="F90">
        <f t="shared" si="38"/>
        <v>36</v>
      </c>
      <c r="G90" s="10">
        <v>7200</v>
      </c>
      <c r="H90" s="10">
        <f t="shared" si="49"/>
        <v>600</v>
      </c>
      <c r="I90" s="10">
        <f t="shared" si="50"/>
        <v>21600</v>
      </c>
      <c r="J90" s="8">
        <v>46143</v>
      </c>
      <c r="K90" s="7">
        <v>46265</v>
      </c>
      <c r="L90" t="s">
        <v>229</v>
      </c>
      <c r="N90" t="str">
        <f>IF(ISNUMBER(MATCH(L90,dim_produits!$C:$C,0)),"OK","MANQUANT")</f>
        <v>OK</v>
      </c>
    </row>
    <row r="91" spans="1:14">
      <c r="A91">
        <f t="shared" si="44"/>
        <v>90</v>
      </c>
      <c r="B91">
        <v>11</v>
      </c>
      <c r="C91" s="1">
        <f>IFERROR(_xlfn.XLOOKUP(L91,dim_produits!$C:$C,dim_produits!$A:$A,""),"")</f>
        <v>9</v>
      </c>
      <c r="D91">
        <v>2</v>
      </c>
      <c r="E91">
        <v>12</v>
      </c>
      <c r="F91">
        <f t="shared" si="38"/>
        <v>24</v>
      </c>
      <c r="G91" s="10">
        <v>7200</v>
      </c>
      <c r="H91" s="10">
        <f t="shared" si="49"/>
        <v>600</v>
      </c>
      <c r="I91" s="10">
        <f t="shared" si="50"/>
        <v>14400</v>
      </c>
      <c r="J91" s="8">
        <v>46143</v>
      </c>
      <c r="K91" s="7">
        <v>46265</v>
      </c>
      <c r="L91" t="s">
        <v>222</v>
      </c>
      <c r="N91" t="str">
        <f>IF(ISNUMBER(MATCH(L91,dim_produits!$C:$C,0)),"OK","MANQUANT")</f>
        <v>OK</v>
      </c>
    </row>
    <row r="92" spans="1:14">
      <c r="A92">
        <f t="shared" si="44"/>
        <v>91</v>
      </c>
      <c r="B92">
        <v>11</v>
      </c>
      <c r="C92" s="1">
        <f>IFERROR(_xlfn.XLOOKUP(L92,dim_produits!$C:$C,dim_produits!$A:$A,""),"")</f>
        <v>11</v>
      </c>
      <c r="D92">
        <v>2</v>
      </c>
      <c r="E92">
        <v>12</v>
      </c>
      <c r="F92">
        <f t="shared" si="38"/>
        <v>24</v>
      </c>
      <c r="G92" s="10">
        <v>7200</v>
      </c>
      <c r="H92" s="10">
        <f t="shared" si="49"/>
        <v>600</v>
      </c>
      <c r="I92" s="10">
        <f t="shared" si="50"/>
        <v>14400</v>
      </c>
      <c r="J92" s="8">
        <v>46143</v>
      </c>
      <c r="K92" s="7">
        <v>46265</v>
      </c>
      <c r="L92" t="s">
        <v>223</v>
      </c>
      <c r="N92" t="str">
        <f>IF(ISNUMBER(MATCH(L92,dim_produits!$C:$C,0)),"OK","MANQUANT")</f>
        <v>OK</v>
      </c>
    </row>
    <row r="93" spans="1:14">
      <c r="A93">
        <f t="shared" si="44"/>
        <v>92</v>
      </c>
      <c r="B93">
        <v>11</v>
      </c>
      <c r="C93" s="1">
        <f>IFERROR(_xlfn.XLOOKUP(L93,dim_produits!$C:$C,dim_produits!$A:$A,""),"")</f>
        <v>17</v>
      </c>
      <c r="D93">
        <v>1</v>
      </c>
      <c r="E93">
        <v>12</v>
      </c>
      <c r="F93">
        <f t="shared" si="38"/>
        <v>12</v>
      </c>
      <c r="G93" s="10">
        <v>5400</v>
      </c>
      <c r="H93" s="10">
        <f t="shared" si="49"/>
        <v>450</v>
      </c>
      <c r="I93" s="10">
        <f t="shared" si="50"/>
        <v>5400</v>
      </c>
      <c r="J93" s="8">
        <v>46143</v>
      </c>
      <c r="K93" s="7">
        <v>46265</v>
      </c>
      <c r="L93" t="s">
        <v>225</v>
      </c>
      <c r="N93" t="str">
        <f>IF(ISNUMBER(MATCH(L93,dim_produits!$C:$C,0)),"OK","MANQUANT")</f>
        <v>OK</v>
      </c>
    </row>
    <row r="94" spans="1:14">
      <c r="A94">
        <f t="shared" si="44"/>
        <v>93</v>
      </c>
      <c r="B94">
        <v>11</v>
      </c>
      <c r="C94" s="1">
        <f>IFERROR(_xlfn.XLOOKUP(L94,dim_produits!$C:$C,dim_produits!$A:$A,""),"")</f>
        <v>7</v>
      </c>
      <c r="D94">
        <v>3</v>
      </c>
      <c r="E94">
        <v>12</v>
      </c>
      <c r="F94">
        <f t="shared" si="38"/>
        <v>36</v>
      </c>
      <c r="G94" s="10">
        <v>7200</v>
      </c>
      <c r="H94" s="10">
        <f t="shared" ref="H94:H99" si="51">G94/E94</f>
        <v>600</v>
      </c>
      <c r="I94" s="10">
        <f t="shared" ref="I94:I99" si="52">G94*D94</f>
        <v>21600</v>
      </c>
      <c r="J94" s="8">
        <v>46143</v>
      </c>
      <c r="K94" s="7">
        <v>46265</v>
      </c>
      <c r="L94" t="s">
        <v>220</v>
      </c>
      <c r="N94" t="str">
        <f>IF(ISNUMBER(MATCH(L94,dim_produits!$C:$C,0)),"OK","MANQUANT")</f>
        <v>OK</v>
      </c>
    </row>
    <row r="95" spans="1:14">
      <c r="A95">
        <f t="shared" si="44"/>
        <v>94</v>
      </c>
      <c r="B95">
        <v>11</v>
      </c>
      <c r="C95" s="1">
        <f>IFERROR(_xlfn.XLOOKUP(L95,dim_produits!$C:$C,dim_produits!$A:$A,""),"")</f>
        <v>30</v>
      </c>
      <c r="D95">
        <f>16800/200/12</f>
        <v>7</v>
      </c>
      <c r="E95">
        <v>12</v>
      </c>
      <c r="F95">
        <f t="shared" si="38"/>
        <v>84</v>
      </c>
      <c r="G95" s="10">
        <v>2400</v>
      </c>
      <c r="H95" s="10">
        <f t="shared" si="51"/>
        <v>200</v>
      </c>
      <c r="I95" s="10">
        <f t="shared" si="52"/>
        <v>16800</v>
      </c>
      <c r="J95" s="8">
        <v>46143</v>
      </c>
      <c r="K95" s="7">
        <v>46265</v>
      </c>
      <c r="L95" t="s">
        <v>254</v>
      </c>
      <c r="N95" t="str">
        <f>IF(ISNUMBER(MATCH(L95,dim_produits!$C:$C,0)),"OK","MANQUANT")</f>
        <v>OK</v>
      </c>
    </row>
    <row r="96" spans="1:14">
      <c r="A96">
        <f t="shared" si="44"/>
        <v>95</v>
      </c>
      <c r="B96">
        <v>12</v>
      </c>
      <c r="C96" s="1">
        <f>IFERROR(_xlfn.XLOOKUP(L96,dim_produits!$C:$C,dim_produits!$A:$A,""),"")</f>
        <v>87</v>
      </c>
      <c r="D96">
        <v>1</v>
      </c>
      <c r="E96">
        <v>24</v>
      </c>
      <c r="F96">
        <f t="shared" si="38"/>
        <v>24</v>
      </c>
      <c r="G96" s="10">
        <v>13759</v>
      </c>
      <c r="H96" s="10">
        <f t="shared" si="51"/>
        <v>573.29166666666663</v>
      </c>
      <c r="I96" s="10">
        <f t="shared" si="52"/>
        <v>13759</v>
      </c>
      <c r="J96" s="8">
        <v>46143</v>
      </c>
      <c r="K96" s="7">
        <v>46265</v>
      </c>
      <c r="L96" t="s">
        <v>374</v>
      </c>
      <c r="N96" t="str">
        <f>IF(ISNUMBER(MATCH(L96,dim_produits!$C:$C,0)),"OK","MANQUANT")</f>
        <v>OK</v>
      </c>
    </row>
    <row r="97" spans="1:14">
      <c r="A97">
        <f t="shared" si="44"/>
        <v>96</v>
      </c>
      <c r="B97">
        <v>12</v>
      </c>
      <c r="C97" s="1">
        <f>IFERROR(_xlfn.XLOOKUP(L97,dim_produits!$C:$C,dim_produits!$A:$A,""),"")</f>
        <v>54</v>
      </c>
      <c r="D97">
        <v>1</v>
      </c>
      <c r="E97">
        <v>24</v>
      </c>
      <c r="F97">
        <f>D97*E97</f>
        <v>24</v>
      </c>
      <c r="G97" s="10">
        <v>14300</v>
      </c>
      <c r="H97" s="10">
        <f t="shared" si="51"/>
        <v>595.83333333333337</v>
      </c>
      <c r="I97" s="10">
        <f t="shared" si="52"/>
        <v>14300</v>
      </c>
      <c r="J97" s="8">
        <v>46143</v>
      </c>
      <c r="K97" s="7">
        <v>46265</v>
      </c>
      <c r="L97" t="s">
        <v>235</v>
      </c>
      <c r="N97" t="str">
        <f>IF(ISNUMBER(MATCH(L97,dim_produits!$C:$C,0)),"OK","MANQUANT")</f>
        <v>OK</v>
      </c>
    </row>
    <row r="98" spans="1:14">
      <c r="A98">
        <f t="shared" si="44"/>
        <v>97</v>
      </c>
      <c r="B98">
        <v>12</v>
      </c>
      <c r="C98" s="1">
        <f>IFERROR(_xlfn.XLOOKUP(L98,dim_produits!$C:$C,dim_produits!$A:$A,""),"")</f>
        <v>55</v>
      </c>
      <c r="D98">
        <v>1</v>
      </c>
      <c r="E98">
        <v>15</v>
      </c>
      <c r="F98">
        <f t="shared" si="38"/>
        <v>15</v>
      </c>
      <c r="G98" s="10">
        <v>9732</v>
      </c>
      <c r="H98" s="10">
        <f t="shared" si="51"/>
        <v>648.79999999999995</v>
      </c>
      <c r="I98" s="10">
        <f t="shared" si="52"/>
        <v>9732</v>
      </c>
      <c r="J98" s="8">
        <v>46143</v>
      </c>
      <c r="K98" s="7">
        <v>46265</v>
      </c>
      <c r="L98" t="s">
        <v>369</v>
      </c>
      <c r="N98" t="str">
        <f>IF(ISNUMBER(MATCH(L98,dim_produits!$C:$C,0)),"OK","MANQUANT")</f>
        <v>OK</v>
      </c>
    </row>
    <row r="99" spans="1:14">
      <c r="A99">
        <f t="shared" si="44"/>
        <v>98</v>
      </c>
      <c r="B99">
        <v>12</v>
      </c>
      <c r="C99" s="1">
        <f>IFERROR(_xlfn.XLOOKUP(L99,dim_produits!$C:$C,dim_produits!$A:$A,""),"")</f>
        <v>30</v>
      </c>
      <c r="D99">
        <v>1</v>
      </c>
      <c r="E99">
        <v>15</v>
      </c>
      <c r="F99">
        <f t="shared" si="38"/>
        <v>15</v>
      </c>
      <c r="G99" s="10">
        <v>3000</v>
      </c>
      <c r="H99" s="10">
        <f t="shared" si="51"/>
        <v>200</v>
      </c>
      <c r="I99" s="10">
        <f t="shared" si="52"/>
        <v>3000</v>
      </c>
      <c r="J99" s="8">
        <v>46143</v>
      </c>
      <c r="K99" s="7">
        <v>46265</v>
      </c>
      <c r="L99" t="s">
        <v>254</v>
      </c>
      <c r="N99" t="str">
        <f>IF(ISNUMBER(MATCH(L99,dim_produits!$C:$C,0)),"OK","MANQUANT")</f>
        <v>OK</v>
      </c>
    </row>
    <row r="100" spans="1:14">
      <c r="A100">
        <f t="shared" si="44"/>
        <v>99</v>
      </c>
      <c r="B100" s="79">
        <v>13</v>
      </c>
      <c r="C100" s="1">
        <f>IFERROR(_xlfn.XLOOKUP(L100,dim_produits!$C:$C,dim_produits!$A:$A,""),"")</f>
        <v>19</v>
      </c>
      <c r="D100">
        <v>1</v>
      </c>
      <c r="E100">
        <v>24</v>
      </c>
      <c r="F100">
        <f t="shared" si="38"/>
        <v>24</v>
      </c>
      <c r="G100" s="10">
        <v>17500</v>
      </c>
      <c r="H100" s="10">
        <f t="shared" ref="H100:H107" si="53">G100/E100</f>
        <v>729.16666666666663</v>
      </c>
      <c r="I100" s="10">
        <f t="shared" ref="I100:I107" si="54">G100*D100</f>
        <v>17500</v>
      </c>
      <c r="J100" s="8">
        <v>46109</v>
      </c>
      <c r="K100" s="8">
        <v>46592</v>
      </c>
      <c r="L100" t="s">
        <v>186</v>
      </c>
      <c r="N100" t="str">
        <f>IF(ISNUMBER(MATCH(L100,dim_produits!$C:$C,0)),"OK","MANQUANT")</f>
        <v>OK</v>
      </c>
    </row>
    <row r="101" spans="1:14">
      <c r="A101">
        <f t="shared" si="44"/>
        <v>100</v>
      </c>
      <c r="B101" s="79">
        <v>13</v>
      </c>
      <c r="C101" s="1">
        <f>IFERROR(_xlfn.XLOOKUP(L101,dim_produits!$C:$C,dim_produits!$A:$A,""),"")</f>
        <v>20</v>
      </c>
      <c r="D101">
        <v>1</v>
      </c>
      <c r="E101">
        <v>24</v>
      </c>
      <c r="F101">
        <f t="shared" si="38"/>
        <v>24</v>
      </c>
      <c r="G101" s="10">
        <v>16000</v>
      </c>
      <c r="H101" s="10">
        <f t="shared" si="53"/>
        <v>666.66666666666663</v>
      </c>
      <c r="I101" s="10">
        <f t="shared" si="54"/>
        <v>16000</v>
      </c>
      <c r="J101" s="8">
        <v>46109</v>
      </c>
      <c r="K101" s="8">
        <v>46520</v>
      </c>
      <c r="L101" t="s">
        <v>187</v>
      </c>
      <c r="N101" t="str">
        <f>IF(ISNUMBER(MATCH(L101,dim_produits!$C:$C,0)),"OK","MANQUANT")</f>
        <v>OK</v>
      </c>
    </row>
    <row r="102" spans="1:14">
      <c r="A102">
        <f t="shared" si="44"/>
        <v>101</v>
      </c>
      <c r="B102" s="79">
        <v>13</v>
      </c>
      <c r="C102" s="1">
        <f>IFERROR(_xlfn.XLOOKUP(L102,dim_produits!$C:$C,dim_produits!$A:$A,""),"")</f>
        <v>21</v>
      </c>
      <c r="D102">
        <v>1</v>
      </c>
      <c r="E102">
        <v>24</v>
      </c>
      <c r="F102">
        <f t="shared" si="38"/>
        <v>24</v>
      </c>
      <c r="G102" s="10">
        <v>16000</v>
      </c>
      <c r="H102" s="10">
        <f t="shared" si="53"/>
        <v>666.66666666666663</v>
      </c>
      <c r="I102" s="10">
        <f t="shared" si="54"/>
        <v>16000</v>
      </c>
      <c r="J102" s="8">
        <v>46109</v>
      </c>
      <c r="K102" s="8">
        <v>46535</v>
      </c>
      <c r="L102" t="s">
        <v>188</v>
      </c>
      <c r="N102" t="str">
        <f>IF(ISNUMBER(MATCH(L102,dim_produits!$C:$C,0)),"OK","MANQUANT")</f>
        <v>OK</v>
      </c>
    </row>
    <row r="103" spans="1:14">
      <c r="A103">
        <f t="shared" si="44"/>
        <v>102</v>
      </c>
      <c r="B103" s="79">
        <v>13</v>
      </c>
      <c r="C103" s="1">
        <f>IFERROR(_xlfn.XLOOKUP(L103,dim_produits!$C:$C,dim_produits!$A:$A,""),"")</f>
        <v>22</v>
      </c>
      <c r="D103">
        <v>1</v>
      </c>
      <c r="E103">
        <v>24</v>
      </c>
      <c r="F103">
        <f t="shared" si="38"/>
        <v>24</v>
      </c>
      <c r="G103" s="10">
        <v>16000</v>
      </c>
      <c r="H103" s="10">
        <f t="shared" si="53"/>
        <v>666.66666666666663</v>
      </c>
      <c r="I103" s="10">
        <f t="shared" si="54"/>
        <v>16000</v>
      </c>
      <c r="J103" s="8">
        <v>46109</v>
      </c>
      <c r="K103" s="8">
        <v>46550</v>
      </c>
      <c r="L103" t="s">
        <v>189</v>
      </c>
      <c r="N103" t="str">
        <f>IF(ISNUMBER(MATCH(L103,dim_produits!$C:$C,0)),"OK","MANQUANT")</f>
        <v>OK</v>
      </c>
    </row>
    <row r="104" spans="1:14">
      <c r="A104">
        <f t="shared" si="44"/>
        <v>103</v>
      </c>
      <c r="B104" s="79">
        <v>13</v>
      </c>
      <c r="C104" s="1">
        <f>IFERROR(_xlfn.XLOOKUP(L104,dim_produits!$C:$C,dim_produits!$A:$A,""),"")</f>
        <v>23</v>
      </c>
      <c r="D104">
        <v>1</v>
      </c>
      <c r="E104">
        <v>24</v>
      </c>
      <c r="F104">
        <f t="shared" si="38"/>
        <v>24</v>
      </c>
      <c r="G104" s="10">
        <v>16000</v>
      </c>
      <c r="H104" s="10">
        <f t="shared" si="53"/>
        <v>666.66666666666663</v>
      </c>
      <c r="I104" s="10">
        <f t="shared" si="54"/>
        <v>16000</v>
      </c>
      <c r="J104" s="8">
        <v>46109</v>
      </c>
      <c r="K104" s="8">
        <v>46474</v>
      </c>
      <c r="L104" t="s">
        <v>190</v>
      </c>
      <c r="N104" t="str">
        <f>IF(ISNUMBER(MATCH(L104,dim_produits!$C:$C,0)),"OK","MANQUANT")</f>
        <v>OK</v>
      </c>
    </row>
    <row r="105" spans="1:14">
      <c r="A105">
        <f t="shared" si="44"/>
        <v>104</v>
      </c>
      <c r="B105" s="79">
        <v>13</v>
      </c>
      <c r="C105" s="1">
        <f>IFERROR(_xlfn.XLOOKUP(L105,dim_produits!$C:$C,dim_produits!$A:$A,""),"")</f>
        <v>24</v>
      </c>
      <c r="D105">
        <v>1</v>
      </c>
      <c r="E105">
        <v>24</v>
      </c>
      <c r="F105">
        <f t="shared" si="38"/>
        <v>24</v>
      </c>
      <c r="G105" s="10">
        <v>8000</v>
      </c>
      <c r="H105" s="10">
        <f t="shared" si="53"/>
        <v>333.33333333333331</v>
      </c>
      <c r="I105" s="10">
        <f t="shared" si="54"/>
        <v>8000</v>
      </c>
      <c r="J105" s="8">
        <v>46109</v>
      </c>
      <c r="K105" s="8">
        <v>46474</v>
      </c>
      <c r="L105" t="s">
        <v>191</v>
      </c>
      <c r="N105" t="str">
        <f>IF(ISNUMBER(MATCH(L105,dim_produits!$C:$C,0)),"OK","MANQUANT")</f>
        <v>OK</v>
      </c>
    </row>
    <row r="106" spans="1:14">
      <c r="A106">
        <f t="shared" si="44"/>
        <v>105</v>
      </c>
      <c r="B106" s="79">
        <v>13</v>
      </c>
      <c r="C106" s="1">
        <f>IFERROR(_xlfn.XLOOKUP(L106,dim_produits!$C:$C,dim_produits!$A:$A,""),"")</f>
        <v>100</v>
      </c>
      <c r="D106">
        <v>1</v>
      </c>
      <c r="E106">
        <v>12</v>
      </c>
      <c r="F106">
        <f t="shared" si="38"/>
        <v>12</v>
      </c>
      <c r="G106" s="10">
        <v>20000</v>
      </c>
      <c r="H106" s="10">
        <f t="shared" si="53"/>
        <v>1666.6666666666667</v>
      </c>
      <c r="I106" s="10">
        <f t="shared" si="54"/>
        <v>20000</v>
      </c>
      <c r="J106" s="8">
        <v>46109</v>
      </c>
      <c r="K106" s="8">
        <v>46474</v>
      </c>
      <c r="L106" t="s">
        <v>192</v>
      </c>
      <c r="N106" t="str">
        <f>IF(ISNUMBER(MATCH(L106,dim_produits!$C:$C,0)),"OK","MANQUANT")</f>
        <v>OK</v>
      </c>
    </row>
    <row r="107" spans="1:14">
      <c r="A107">
        <f t="shared" si="44"/>
        <v>106</v>
      </c>
      <c r="B107">
        <v>14</v>
      </c>
      <c r="C107" s="1">
        <f>IFERROR(_xlfn.XLOOKUP(L107,dim_produits!$C:$C,dim_produits!$A:$A,""),"")</f>
        <v>6</v>
      </c>
      <c r="D107">
        <v>12</v>
      </c>
      <c r="E107">
        <v>10</v>
      </c>
      <c r="F107">
        <f t="shared" si="38"/>
        <v>120</v>
      </c>
      <c r="G107" s="10">
        <v>3799.92</v>
      </c>
      <c r="H107" s="10">
        <f t="shared" si="53"/>
        <v>379.99200000000002</v>
      </c>
      <c r="I107" s="10">
        <f t="shared" si="54"/>
        <v>45599.040000000001</v>
      </c>
      <c r="J107" s="8">
        <v>46094</v>
      </c>
      <c r="K107" s="8">
        <v>46359</v>
      </c>
      <c r="L107" t="s">
        <v>368</v>
      </c>
      <c r="N107" t="str">
        <f>IF(ISNUMBER(MATCH(L107,dim_produits!$C:$C,0)),"OK","MANQUANT")</f>
        <v>OK</v>
      </c>
    </row>
    <row r="108" spans="1:14">
      <c r="A108">
        <f t="shared" si="44"/>
        <v>107</v>
      </c>
      <c r="B108">
        <v>14</v>
      </c>
      <c r="C108" s="1">
        <f>IFERROR(_xlfn.XLOOKUP(L108,dim_produits!$C:$C,dim_produits!$A:$A,""),"")</f>
        <v>71</v>
      </c>
      <c r="D108">
        <v>6</v>
      </c>
      <c r="E108">
        <v>6</v>
      </c>
      <c r="F108">
        <f t="shared" si="38"/>
        <v>36</v>
      </c>
      <c r="G108" s="10">
        <v>2199.96</v>
      </c>
      <c r="H108" s="10">
        <f t="shared" ref="H108:H113" si="55">G108/E108</f>
        <v>366.66</v>
      </c>
      <c r="I108" s="10">
        <f t="shared" ref="I108:I113" si="56">G108*D108</f>
        <v>13199.76</v>
      </c>
      <c r="J108" s="8">
        <v>46094</v>
      </c>
      <c r="K108" s="8">
        <v>46272</v>
      </c>
      <c r="L108" t="s">
        <v>194</v>
      </c>
      <c r="N108" t="str">
        <f>IF(ISNUMBER(MATCH(L108,dim_produits!$C:$C,0)),"OK","MANQUANT")</f>
        <v>OK</v>
      </c>
    </row>
    <row r="109" spans="1:14">
      <c r="A109">
        <f t="shared" si="44"/>
        <v>108</v>
      </c>
      <c r="B109">
        <v>14</v>
      </c>
      <c r="C109" s="1">
        <f>IFERROR(_xlfn.XLOOKUP(L109,dim_produits!$C:$C,dim_produits!$A:$A,""),"")</f>
        <v>72</v>
      </c>
      <c r="D109">
        <v>6</v>
      </c>
      <c r="E109">
        <v>6</v>
      </c>
      <c r="F109">
        <f t="shared" si="38"/>
        <v>36</v>
      </c>
      <c r="G109" s="10">
        <v>2199.96</v>
      </c>
      <c r="H109" s="10">
        <f t="shared" si="55"/>
        <v>366.66</v>
      </c>
      <c r="I109" s="10">
        <f t="shared" si="56"/>
        <v>13199.76</v>
      </c>
      <c r="J109" s="8">
        <v>46094</v>
      </c>
      <c r="K109" s="8">
        <v>46360</v>
      </c>
      <c r="L109" t="s">
        <v>195</v>
      </c>
      <c r="N109" t="str">
        <f>IF(ISNUMBER(MATCH(L109,dim_produits!$C:$C,0)),"OK","MANQUANT")</f>
        <v>OK</v>
      </c>
    </row>
    <row r="110" spans="1:14">
      <c r="A110">
        <f t="shared" si="44"/>
        <v>109</v>
      </c>
      <c r="B110">
        <v>14</v>
      </c>
      <c r="C110" s="1">
        <f>IFERROR(_xlfn.XLOOKUP(L110,dim_produits!$C:$C,dim_produits!$A:$A,""),"")</f>
        <v>73</v>
      </c>
      <c r="D110">
        <v>6</v>
      </c>
      <c r="E110">
        <v>6</v>
      </c>
      <c r="F110">
        <f t="shared" si="38"/>
        <v>36</v>
      </c>
      <c r="G110" s="10">
        <v>2199.96</v>
      </c>
      <c r="H110" s="10">
        <f t="shared" si="55"/>
        <v>366.66</v>
      </c>
      <c r="I110" s="10">
        <f t="shared" si="56"/>
        <v>13199.76</v>
      </c>
      <c r="J110" s="8">
        <v>46094</v>
      </c>
      <c r="K110" s="8">
        <v>46364</v>
      </c>
      <c r="L110" t="s">
        <v>196</v>
      </c>
      <c r="N110" t="str">
        <f>IF(ISNUMBER(MATCH(L110,dim_produits!$C:$C,0)),"OK","MANQUANT")</f>
        <v>OK</v>
      </c>
    </row>
    <row r="111" spans="1:14">
      <c r="A111">
        <f t="shared" si="44"/>
        <v>110</v>
      </c>
      <c r="B111">
        <v>14</v>
      </c>
      <c r="C111" s="1">
        <f>IFERROR(_xlfn.XLOOKUP(L111,dim_produits!$C:$C,dim_produits!$A:$A,""),"")</f>
        <v>5</v>
      </c>
      <c r="D111">
        <v>6</v>
      </c>
      <c r="E111">
        <v>10</v>
      </c>
      <c r="F111">
        <f t="shared" si="38"/>
        <v>60</v>
      </c>
      <c r="G111" s="10">
        <v>1999.98</v>
      </c>
      <c r="H111" s="10">
        <f t="shared" si="55"/>
        <v>199.99799999999999</v>
      </c>
      <c r="I111" s="10">
        <f t="shared" si="56"/>
        <v>11999.880000000001</v>
      </c>
      <c r="J111" s="8">
        <v>46094</v>
      </c>
      <c r="K111" s="8">
        <v>46344</v>
      </c>
      <c r="L111" t="s">
        <v>197</v>
      </c>
      <c r="N111" t="str">
        <f>IF(ISNUMBER(MATCH(L111,dim_produits!$C:$C,0)),"OK","MANQUANT")</f>
        <v>OK</v>
      </c>
    </row>
    <row r="112" spans="1:14">
      <c r="A112">
        <f t="shared" si="44"/>
        <v>111</v>
      </c>
      <c r="B112">
        <v>14</v>
      </c>
      <c r="C112" s="1">
        <f>IFERROR(_xlfn.XLOOKUP(L112,dim_produits!$C:$C,dim_produits!$A:$A,""),"")</f>
        <v>74</v>
      </c>
      <c r="D112">
        <v>5</v>
      </c>
      <c r="E112">
        <v>6</v>
      </c>
      <c r="F112">
        <f t="shared" si="38"/>
        <v>30</v>
      </c>
      <c r="G112" s="10">
        <v>3720</v>
      </c>
      <c r="H112" s="10">
        <f t="shared" si="55"/>
        <v>620</v>
      </c>
      <c r="I112" s="10">
        <f t="shared" si="56"/>
        <v>18600</v>
      </c>
      <c r="J112" s="8">
        <v>46094</v>
      </c>
      <c r="K112" s="8">
        <v>46367</v>
      </c>
      <c r="L112" t="s">
        <v>198</v>
      </c>
      <c r="N112" t="str">
        <f>IF(ISNUMBER(MATCH(L112,dim_produits!$C:$C,0)),"OK","MANQUANT")</f>
        <v>OK</v>
      </c>
    </row>
    <row r="113" spans="1:14">
      <c r="A113">
        <f t="shared" si="44"/>
        <v>112</v>
      </c>
      <c r="B113">
        <v>14</v>
      </c>
      <c r="C113" s="1">
        <f>IFERROR(_xlfn.XLOOKUP(L113,dim_produits!$C:$C,dim_produits!$A:$A,""),"")</f>
        <v>75</v>
      </c>
      <c r="D113">
        <v>6</v>
      </c>
      <c r="E113">
        <v>6</v>
      </c>
      <c r="F113">
        <f t="shared" si="38"/>
        <v>36</v>
      </c>
      <c r="G113" s="10">
        <v>3900</v>
      </c>
      <c r="H113" s="10">
        <f t="shared" si="55"/>
        <v>650</v>
      </c>
      <c r="I113" s="10">
        <f t="shared" si="56"/>
        <v>23400</v>
      </c>
      <c r="J113" s="8">
        <v>46094</v>
      </c>
      <c r="K113" s="8">
        <v>46365</v>
      </c>
      <c r="L113" t="s">
        <v>199</v>
      </c>
      <c r="N113" t="str">
        <f>IF(ISNUMBER(MATCH(L113,dim_produits!$C:$C,0)),"OK","MANQUANT")</f>
        <v>OK</v>
      </c>
    </row>
    <row r="114" spans="1:14">
      <c r="A114">
        <f t="shared" si="44"/>
        <v>113</v>
      </c>
      <c r="B114">
        <v>14</v>
      </c>
      <c r="C114" s="1">
        <f>IFERROR(_xlfn.XLOOKUP(L114,dim_produits!$C:$C,dim_produits!$A:$A,""),"")</f>
        <v>31</v>
      </c>
      <c r="D114">
        <v>10</v>
      </c>
      <c r="E114">
        <v>1</v>
      </c>
      <c r="F114">
        <f t="shared" si="38"/>
        <v>10</v>
      </c>
      <c r="G114" s="10">
        <v>900</v>
      </c>
      <c r="H114" s="10">
        <f t="shared" ref="H114:H129" si="57">G114/E114</f>
        <v>900</v>
      </c>
      <c r="I114" s="10">
        <f t="shared" ref="I114:I129" si="58">G114*D114</f>
        <v>9000</v>
      </c>
      <c r="J114" s="8">
        <v>46094</v>
      </c>
      <c r="K114" s="8">
        <v>46523</v>
      </c>
      <c r="L114" t="s">
        <v>200</v>
      </c>
      <c r="N114" t="str">
        <f>IF(ISNUMBER(MATCH(L114,dim_produits!$C:$C,0)),"OK","MANQUANT")</f>
        <v>OK</v>
      </c>
    </row>
    <row r="115" spans="1:14">
      <c r="A115">
        <f t="shared" si="44"/>
        <v>114</v>
      </c>
      <c r="B115">
        <v>14</v>
      </c>
      <c r="C115" s="1">
        <f>IFERROR(_xlfn.XLOOKUP(L115,dim_produits!$C:$C,dim_produits!$A:$A,""),"")</f>
        <v>76</v>
      </c>
      <c r="D115">
        <v>5</v>
      </c>
      <c r="E115">
        <v>6</v>
      </c>
      <c r="F115">
        <f t="shared" si="38"/>
        <v>30</v>
      </c>
      <c r="G115" s="10">
        <v>2349.96</v>
      </c>
      <c r="H115" s="10">
        <f t="shared" si="57"/>
        <v>391.66</v>
      </c>
      <c r="I115" s="10">
        <f t="shared" si="58"/>
        <v>11749.8</v>
      </c>
      <c r="J115" s="8">
        <v>46158</v>
      </c>
      <c r="K115" s="8">
        <v>46493</v>
      </c>
      <c r="L115" t="s">
        <v>201</v>
      </c>
      <c r="N115" t="str">
        <f>IF(ISNUMBER(MATCH(L115,dim_produits!$C:$C,0)),"OK","MANQUANT")</f>
        <v>OK</v>
      </c>
    </row>
    <row r="116" spans="1:14">
      <c r="A116">
        <f t="shared" si="44"/>
        <v>115</v>
      </c>
      <c r="B116">
        <v>14</v>
      </c>
      <c r="C116" s="1">
        <f>IFERROR(_xlfn.XLOOKUP(L116,dim_produits!$C:$C,dim_produits!$A:$A,""),"")</f>
        <v>77</v>
      </c>
      <c r="D116">
        <v>6</v>
      </c>
      <c r="E116">
        <v>6</v>
      </c>
      <c r="F116">
        <f t="shared" si="38"/>
        <v>36</v>
      </c>
      <c r="G116" s="10">
        <v>3300</v>
      </c>
      <c r="H116" s="10">
        <f t="shared" si="57"/>
        <v>550</v>
      </c>
      <c r="I116" s="10">
        <f t="shared" si="58"/>
        <v>19800</v>
      </c>
      <c r="J116" s="8">
        <v>46158</v>
      </c>
      <c r="K116" s="8">
        <v>46335</v>
      </c>
      <c r="L116" t="s">
        <v>202</v>
      </c>
      <c r="N116" t="str">
        <f>IF(ISNUMBER(MATCH(L116,dim_produits!$C:$C,0)),"OK","MANQUANT")</f>
        <v>OK</v>
      </c>
    </row>
    <row r="117" spans="1:14">
      <c r="A117">
        <f t="shared" si="44"/>
        <v>116</v>
      </c>
      <c r="B117">
        <v>14</v>
      </c>
      <c r="C117" s="1">
        <f>IFERROR(_xlfn.XLOOKUP(L117,dim_produits!$C:$C,dim_produits!$A:$A,""),"")</f>
        <v>78</v>
      </c>
      <c r="D117">
        <v>1</v>
      </c>
      <c r="E117">
        <v>12</v>
      </c>
      <c r="F117">
        <f t="shared" si="38"/>
        <v>12</v>
      </c>
      <c r="G117" s="10">
        <v>2899.92</v>
      </c>
      <c r="H117" s="10">
        <f t="shared" si="57"/>
        <v>241.66</v>
      </c>
      <c r="I117" s="10">
        <f t="shared" si="58"/>
        <v>2899.92</v>
      </c>
      <c r="J117" s="8">
        <v>46158</v>
      </c>
      <c r="K117" s="8">
        <v>46367</v>
      </c>
      <c r="L117" t="s">
        <v>203</v>
      </c>
      <c r="N117" t="str">
        <f>IF(ISNUMBER(MATCH(L117,dim_produits!$C:$C,0)),"OK","MANQUANT")</f>
        <v>OK</v>
      </c>
    </row>
    <row r="118" spans="1:14">
      <c r="A118">
        <f t="shared" si="44"/>
        <v>117</v>
      </c>
      <c r="B118">
        <v>14</v>
      </c>
      <c r="C118" s="1">
        <f>IFERROR(_xlfn.XLOOKUP(L118,dim_produits!$C:$C,dim_produits!$A:$A,""),"")</f>
        <v>79</v>
      </c>
      <c r="D118">
        <v>6</v>
      </c>
      <c r="E118">
        <v>6</v>
      </c>
      <c r="F118">
        <f t="shared" si="38"/>
        <v>36</v>
      </c>
      <c r="G118" s="10">
        <v>2349.96</v>
      </c>
      <c r="H118" s="10">
        <f t="shared" si="57"/>
        <v>391.66</v>
      </c>
      <c r="I118" s="10">
        <f t="shared" si="58"/>
        <v>14099.76</v>
      </c>
      <c r="J118" s="8">
        <v>46058</v>
      </c>
      <c r="K118" s="8">
        <v>46392</v>
      </c>
      <c r="L118" t="s">
        <v>204</v>
      </c>
      <c r="N118" t="str">
        <f>IF(ISNUMBER(MATCH(L118,dim_produits!$C:$C,0)),"OK","MANQUANT")</f>
        <v>OK</v>
      </c>
    </row>
    <row r="119" spans="1:14">
      <c r="A119">
        <f t="shared" si="44"/>
        <v>118</v>
      </c>
      <c r="B119">
        <v>14</v>
      </c>
      <c r="C119" s="1">
        <f>IFERROR(_xlfn.XLOOKUP(L119,dim_produits!$C:$C,dim_produits!$A:$A,""),"")</f>
        <v>80</v>
      </c>
      <c r="D119">
        <v>1</v>
      </c>
      <c r="E119">
        <v>12</v>
      </c>
      <c r="F119">
        <f t="shared" si="38"/>
        <v>12</v>
      </c>
      <c r="G119" s="10">
        <v>2352</v>
      </c>
      <c r="H119" s="10">
        <f t="shared" si="57"/>
        <v>196</v>
      </c>
      <c r="I119" s="10">
        <f t="shared" si="58"/>
        <v>2352</v>
      </c>
      <c r="J119" s="8">
        <v>46095</v>
      </c>
      <c r="K119" s="8">
        <v>46370</v>
      </c>
      <c r="L119" t="s">
        <v>205</v>
      </c>
      <c r="N119" t="str">
        <f>IF(ISNUMBER(MATCH(L119,dim_produits!$C:$C,0)),"OK","MANQUANT")</f>
        <v>OK</v>
      </c>
    </row>
    <row r="120" spans="1:14">
      <c r="A120">
        <f t="shared" si="44"/>
        <v>119</v>
      </c>
      <c r="B120">
        <v>14</v>
      </c>
      <c r="C120" s="1">
        <f>IFERROR(_xlfn.XLOOKUP(L120,dim_produits!$C:$C,dim_produits!$A:$A,""),"")</f>
        <v>81</v>
      </c>
      <c r="D120" s="6">
        <v>1</v>
      </c>
      <c r="E120">
        <v>12</v>
      </c>
      <c r="F120">
        <f t="shared" si="38"/>
        <v>12</v>
      </c>
      <c r="G120" s="10">
        <v>2899.92</v>
      </c>
      <c r="H120" s="10">
        <f t="shared" si="57"/>
        <v>241.66</v>
      </c>
      <c r="I120" s="10">
        <f t="shared" si="58"/>
        <v>2899.92</v>
      </c>
      <c r="J120" s="8">
        <v>46153</v>
      </c>
      <c r="K120" s="8">
        <v>46488</v>
      </c>
      <c r="L120" t="s">
        <v>206</v>
      </c>
      <c r="N120" t="str">
        <f>IF(ISNUMBER(MATCH(L120,dim_produits!$C:$C,0)),"OK","MANQUANT")</f>
        <v>OK</v>
      </c>
    </row>
    <row r="121" spans="1:14">
      <c r="A121">
        <f t="shared" si="44"/>
        <v>120</v>
      </c>
      <c r="B121">
        <v>14</v>
      </c>
      <c r="C121" s="1">
        <f>IFERROR(_xlfn.XLOOKUP(L121,dim_produits!$C:$C,dim_produits!$A:$A,""),"")</f>
        <v>82</v>
      </c>
      <c r="D121" s="6">
        <v>6</v>
      </c>
      <c r="E121">
        <v>6</v>
      </c>
      <c r="F121">
        <f t="shared" ref="F121:F172" si="59">D121*E121</f>
        <v>36</v>
      </c>
      <c r="G121" s="10">
        <v>2349.96</v>
      </c>
      <c r="H121" s="10">
        <f t="shared" si="57"/>
        <v>391.66</v>
      </c>
      <c r="I121" s="10">
        <f t="shared" si="58"/>
        <v>14099.76</v>
      </c>
      <c r="J121" s="8">
        <v>46083</v>
      </c>
      <c r="K121" s="8">
        <v>46267</v>
      </c>
      <c r="L121" t="s">
        <v>207</v>
      </c>
      <c r="N121" t="str">
        <f>IF(ISNUMBER(MATCH(L121,dim_produits!$C:$C,0)),"OK","MANQUANT")</f>
        <v>OK</v>
      </c>
    </row>
    <row r="122" spans="1:14">
      <c r="A122">
        <f t="shared" si="44"/>
        <v>121</v>
      </c>
      <c r="B122">
        <v>14</v>
      </c>
      <c r="C122" s="1">
        <f>IFERROR(_xlfn.XLOOKUP(L122,dim_produits!$C:$C,dim_produits!$A:$A,""),"")</f>
        <v>83</v>
      </c>
      <c r="D122" s="6">
        <v>6</v>
      </c>
      <c r="E122">
        <v>6</v>
      </c>
      <c r="F122">
        <f t="shared" si="59"/>
        <v>36</v>
      </c>
      <c r="G122" s="10">
        <v>3249.96</v>
      </c>
      <c r="H122" s="10">
        <f t="shared" si="57"/>
        <v>541.66</v>
      </c>
      <c r="I122" s="10">
        <f t="shared" si="58"/>
        <v>19499.760000000002</v>
      </c>
      <c r="J122" s="8">
        <v>46083</v>
      </c>
      <c r="K122" s="8">
        <v>46340</v>
      </c>
      <c r="L122" t="s">
        <v>208</v>
      </c>
      <c r="N122" t="str">
        <f>IF(ISNUMBER(MATCH(L122,dim_produits!$C:$C,0)),"OK","MANQUANT")</f>
        <v>OK</v>
      </c>
    </row>
    <row r="123" spans="1:14">
      <c r="A123">
        <f t="shared" si="44"/>
        <v>122</v>
      </c>
      <c r="B123">
        <v>14</v>
      </c>
      <c r="C123" s="1">
        <f>IFERROR(_xlfn.XLOOKUP(L123,dim_produits!$C:$C,dim_produits!$A:$A,""),"")</f>
        <v>84</v>
      </c>
      <c r="D123" s="6">
        <v>6</v>
      </c>
      <c r="E123">
        <v>6</v>
      </c>
      <c r="F123">
        <f t="shared" si="59"/>
        <v>36</v>
      </c>
      <c r="G123" s="10">
        <v>3249.96</v>
      </c>
      <c r="H123" s="10">
        <f t="shared" si="57"/>
        <v>541.66</v>
      </c>
      <c r="I123" s="10">
        <f t="shared" si="58"/>
        <v>19499.760000000002</v>
      </c>
      <c r="J123" s="8">
        <v>46185</v>
      </c>
      <c r="K123" s="8">
        <v>46154</v>
      </c>
      <c r="L123" t="s">
        <v>209</v>
      </c>
      <c r="N123" t="str">
        <f>IF(ISNUMBER(MATCH(L123,dim_produits!$C:$C,0)),"OK","MANQUANT")</f>
        <v>OK</v>
      </c>
    </row>
    <row r="124" spans="1:14">
      <c r="A124">
        <f t="shared" si="44"/>
        <v>123</v>
      </c>
      <c r="B124">
        <v>14</v>
      </c>
      <c r="C124" s="1">
        <f>IFERROR(_xlfn.XLOOKUP(L124,dim_produits!$C:$C,dim_produits!$A:$A,""),"")</f>
        <v>85</v>
      </c>
      <c r="D124">
        <v>5</v>
      </c>
      <c r="E124">
        <v>6</v>
      </c>
      <c r="F124">
        <f t="shared" si="59"/>
        <v>30</v>
      </c>
      <c r="G124" s="10">
        <v>2349.96</v>
      </c>
      <c r="H124" s="10">
        <f t="shared" si="57"/>
        <v>391.66</v>
      </c>
      <c r="I124" s="10">
        <f t="shared" si="58"/>
        <v>11749.8</v>
      </c>
      <c r="J124" s="8">
        <v>46188</v>
      </c>
      <c r="K124" s="8">
        <v>46550</v>
      </c>
      <c r="L124" t="s">
        <v>210</v>
      </c>
      <c r="N124" t="str">
        <f>IF(ISNUMBER(MATCH(L124,dim_produits!$C:$C,0)),"OK","MANQUANT")</f>
        <v>OK</v>
      </c>
    </row>
    <row r="125" spans="1:14">
      <c r="A125">
        <f t="shared" si="44"/>
        <v>124</v>
      </c>
      <c r="B125">
        <v>14</v>
      </c>
      <c r="C125" s="1">
        <f>IFERROR(_xlfn.XLOOKUP(L125,dim_produits!$C:$C,dim_produits!$A:$A,""),"")</f>
        <v>32</v>
      </c>
      <c r="D125">
        <v>2</v>
      </c>
      <c r="E125">
        <v>12</v>
      </c>
      <c r="F125">
        <f t="shared" si="59"/>
        <v>24</v>
      </c>
      <c r="G125" s="10">
        <v>1899.96</v>
      </c>
      <c r="H125" s="10">
        <f t="shared" si="57"/>
        <v>158.33000000000001</v>
      </c>
      <c r="I125" s="10">
        <f t="shared" si="58"/>
        <v>3799.92</v>
      </c>
      <c r="J125" s="8">
        <v>46188</v>
      </c>
      <c r="K125" s="8">
        <v>46553</v>
      </c>
      <c r="L125" t="s">
        <v>211</v>
      </c>
      <c r="N125" t="str">
        <f>IF(ISNUMBER(MATCH(L125,dim_produits!$C:$C,0)),"OK","MANQUANT")</f>
        <v>OK</v>
      </c>
    </row>
    <row r="126" spans="1:14">
      <c r="A126">
        <f t="shared" si="44"/>
        <v>125</v>
      </c>
      <c r="B126">
        <v>14</v>
      </c>
      <c r="C126" s="1">
        <f>IFERROR(_xlfn.XLOOKUP(L126,dim_produits!$C:$C,dim_produits!$A:$A,""),"")</f>
        <v>33</v>
      </c>
      <c r="D126">
        <v>5</v>
      </c>
      <c r="E126">
        <v>6</v>
      </c>
      <c r="F126">
        <f t="shared" si="59"/>
        <v>30</v>
      </c>
      <c r="G126" s="10">
        <v>1350</v>
      </c>
      <c r="H126" s="10">
        <f t="shared" si="57"/>
        <v>225</v>
      </c>
      <c r="I126" s="10">
        <f t="shared" si="58"/>
        <v>6750</v>
      </c>
      <c r="J126" s="8">
        <v>46129</v>
      </c>
      <c r="K126" s="8">
        <v>46129</v>
      </c>
      <c r="L126" t="s">
        <v>212</v>
      </c>
      <c r="N126" t="str">
        <f>IF(ISNUMBER(MATCH(L126,dim_produits!$C:$C,0)),"OK","MANQUANT")</f>
        <v>OK</v>
      </c>
    </row>
    <row r="127" spans="1:14">
      <c r="A127">
        <f t="shared" si="44"/>
        <v>126</v>
      </c>
      <c r="B127">
        <v>14</v>
      </c>
      <c r="C127" s="1">
        <f>IFERROR(_xlfn.XLOOKUP(L127,dim_produits!$C:$C,dim_produits!$A:$A,""),"")</f>
        <v>34</v>
      </c>
      <c r="D127">
        <v>1</v>
      </c>
      <c r="E127">
        <v>10</v>
      </c>
      <c r="F127">
        <f t="shared" si="59"/>
        <v>10</v>
      </c>
      <c r="G127" s="10">
        <v>10000</v>
      </c>
      <c r="H127" s="10">
        <f t="shared" si="57"/>
        <v>1000</v>
      </c>
      <c r="I127" s="10">
        <f t="shared" si="58"/>
        <v>10000</v>
      </c>
      <c r="J127" s="8">
        <v>46160</v>
      </c>
      <c r="K127" s="8">
        <v>46556</v>
      </c>
      <c r="L127" t="s">
        <v>213</v>
      </c>
      <c r="N127" t="str">
        <f>IF(ISNUMBER(MATCH(L127,dim_produits!$C:$C,0)),"OK","MANQUANT")</f>
        <v>OK</v>
      </c>
    </row>
    <row r="128" spans="1:14">
      <c r="A128">
        <f t="shared" si="44"/>
        <v>127</v>
      </c>
      <c r="B128">
        <v>14</v>
      </c>
      <c r="C128" s="1">
        <f>IFERROR(_xlfn.XLOOKUP(L128,dim_produits!$C:$C,dim_produits!$A:$A,""),"")</f>
        <v>35</v>
      </c>
      <c r="D128">
        <v>2</v>
      </c>
      <c r="E128">
        <v>12</v>
      </c>
      <c r="F128">
        <f t="shared" si="59"/>
        <v>24</v>
      </c>
      <c r="G128" s="10">
        <v>1699.92</v>
      </c>
      <c r="H128" s="10">
        <f t="shared" si="57"/>
        <v>141.66</v>
      </c>
      <c r="I128" s="10">
        <f t="shared" si="58"/>
        <v>3399.84</v>
      </c>
      <c r="J128" s="8">
        <v>46175</v>
      </c>
      <c r="K128" s="8">
        <v>46547</v>
      </c>
      <c r="L128" t="s">
        <v>214</v>
      </c>
      <c r="N128" t="str">
        <f>IF(ISNUMBER(MATCH(L128,dim_produits!$C:$C,0)),"OK","MANQUANT")</f>
        <v>OK</v>
      </c>
    </row>
    <row r="129" spans="1:14">
      <c r="A129">
        <f t="shared" si="44"/>
        <v>128</v>
      </c>
      <c r="B129">
        <v>14</v>
      </c>
      <c r="C129" s="1">
        <f>IFERROR(_xlfn.XLOOKUP(L129,dim_produits!$C:$C,dim_produits!$A:$A,""),"")</f>
        <v>36</v>
      </c>
      <c r="D129">
        <v>10</v>
      </c>
      <c r="E129">
        <v>6</v>
      </c>
      <c r="F129">
        <f t="shared" si="59"/>
        <v>60</v>
      </c>
      <c r="G129" s="10">
        <v>1200</v>
      </c>
      <c r="H129" s="10">
        <f t="shared" si="57"/>
        <v>200</v>
      </c>
      <c r="I129" s="10">
        <f t="shared" si="58"/>
        <v>12000</v>
      </c>
      <c r="J129" s="8">
        <v>46187</v>
      </c>
      <c r="K129" s="8">
        <v>46552</v>
      </c>
      <c r="L129" t="s">
        <v>215</v>
      </c>
      <c r="N129" t="str">
        <f>IF(ISNUMBER(MATCH(L129,dim_produits!$C:$C,0)),"OK","MANQUANT")</f>
        <v>OK</v>
      </c>
    </row>
    <row r="130" spans="1:14">
      <c r="A130">
        <f t="shared" si="44"/>
        <v>129</v>
      </c>
      <c r="B130">
        <v>15</v>
      </c>
      <c r="C130" s="1">
        <f>IFERROR(_xlfn.XLOOKUP(L130,dim_produits!$C:$C,dim_produits!$A:$A,""),"")</f>
        <v>94</v>
      </c>
      <c r="D130">
        <v>1</v>
      </c>
      <c r="E130">
        <v>20</v>
      </c>
      <c r="F130">
        <f t="shared" si="59"/>
        <v>20</v>
      </c>
      <c r="G130" s="10">
        <v>6800</v>
      </c>
      <c r="H130" s="10">
        <f t="shared" ref="H130:H141" si="60">G130/E130</f>
        <v>340</v>
      </c>
      <c r="I130" s="10">
        <f t="shared" ref="I130:I141" si="61">G130*D130</f>
        <v>6800</v>
      </c>
      <c r="J130" s="8">
        <v>46105</v>
      </c>
      <c r="K130" s="8">
        <v>46835</v>
      </c>
      <c r="L130" t="s">
        <v>216</v>
      </c>
      <c r="N130" t="str">
        <f>IF(ISNUMBER(MATCH(L130,dim_produits!$C:$C,0)),"OK","MANQUANT")</f>
        <v>OK</v>
      </c>
    </row>
    <row r="131" spans="1:14">
      <c r="A131">
        <f t="shared" si="44"/>
        <v>130</v>
      </c>
      <c r="B131">
        <v>15</v>
      </c>
      <c r="C131" s="1">
        <f>IFERROR(_xlfn.XLOOKUP(L131,dim_produits!$C:$C,dim_produits!$A:$A,""),"")</f>
        <v>95</v>
      </c>
      <c r="D131">
        <v>1</v>
      </c>
      <c r="E131">
        <v>40</v>
      </c>
      <c r="F131">
        <f t="shared" si="59"/>
        <v>40</v>
      </c>
      <c r="G131" s="10">
        <v>6900</v>
      </c>
      <c r="H131" s="10">
        <f t="shared" si="60"/>
        <v>172.5</v>
      </c>
      <c r="I131" s="10">
        <f t="shared" si="61"/>
        <v>6900</v>
      </c>
      <c r="J131" s="8">
        <v>46047</v>
      </c>
      <c r="K131" s="8">
        <v>46776</v>
      </c>
      <c r="L131" t="s">
        <v>404</v>
      </c>
      <c r="N131" t="str">
        <f>IF(ISNUMBER(MATCH(L131,dim_produits!$C:$C,0)),"OK","MANQUANT")</f>
        <v>OK</v>
      </c>
    </row>
    <row r="132" spans="1:14">
      <c r="A132">
        <f t="shared" si="44"/>
        <v>131</v>
      </c>
      <c r="B132">
        <v>15</v>
      </c>
      <c r="C132" s="1">
        <f>IFERROR(_xlfn.XLOOKUP(L132,dim_produits!$C:$C,dim_produits!$A:$A,""),"")</f>
        <v>57</v>
      </c>
      <c r="D132">
        <v>1</v>
      </c>
      <c r="E132">
        <v>60</v>
      </c>
      <c r="F132">
        <f t="shared" si="59"/>
        <v>60</v>
      </c>
      <c r="G132" s="10">
        <v>17500</v>
      </c>
      <c r="H132" s="10">
        <f t="shared" si="60"/>
        <v>291.66666666666669</v>
      </c>
      <c r="I132" s="10">
        <f t="shared" si="61"/>
        <v>17500</v>
      </c>
      <c r="J132" s="8">
        <v>46047</v>
      </c>
      <c r="K132" s="8">
        <v>46776</v>
      </c>
      <c r="L132" t="s">
        <v>218</v>
      </c>
      <c r="N132" t="str">
        <f>IF(ISNUMBER(MATCH(L132,dim_produits!$C:$C,0)),"OK","MANQUANT")</f>
        <v>OK</v>
      </c>
    </row>
    <row r="133" spans="1:14">
      <c r="A133">
        <f t="shared" si="44"/>
        <v>132</v>
      </c>
      <c r="B133">
        <v>15</v>
      </c>
      <c r="C133" s="1">
        <f>IFERROR(_xlfn.XLOOKUP(L133,dim_produits!$C:$C,dim_produits!$A:$A,""),"")</f>
        <v>58</v>
      </c>
      <c r="D133">
        <v>1</v>
      </c>
      <c r="E133">
        <v>60</v>
      </c>
      <c r="F133">
        <f t="shared" si="59"/>
        <v>60</v>
      </c>
      <c r="G133" s="10">
        <v>20000</v>
      </c>
      <c r="H133" s="10">
        <f t="shared" si="60"/>
        <v>333.33333333333331</v>
      </c>
      <c r="I133" s="10">
        <f t="shared" si="61"/>
        <v>20000</v>
      </c>
      <c r="J133" s="8">
        <v>46047</v>
      </c>
      <c r="K133" s="8">
        <v>46776</v>
      </c>
      <c r="L133" t="s">
        <v>219</v>
      </c>
      <c r="N133" t="str">
        <f>IF(ISNUMBER(MATCH(L133,dim_produits!$C:$C,0)),"OK","MANQUANT")</f>
        <v>OK</v>
      </c>
    </row>
    <row r="134" spans="1:14">
      <c r="A134">
        <f t="shared" ref="A134:A172" si="62">A133+1</f>
        <v>133</v>
      </c>
      <c r="B134">
        <v>15</v>
      </c>
      <c r="C134" s="1">
        <f>IFERROR(_xlfn.XLOOKUP(L134,dim_produits!$C:$C,dim_produits!$A:$A,""),"")</f>
        <v>59</v>
      </c>
      <c r="D134">
        <v>1</v>
      </c>
      <c r="E134">
        <v>6</v>
      </c>
      <c r="F134">
        <f t="shared" si="59"/>
        <v>6</v>
      </c>
      <c r="G134" s="10">
        <v>5000</v>
      </c>
      <c r="H134" s="10">
        <f t="shared" si="60"/>
        <v>833.33333333333337</v>
      </c>
      <c r="I134" s="10">
        <f t="shared" si="61"/>
        <v>5000</v>
      </c>
      <c r="J134" s="8">
        <v>46047</v>
      </c>
      <c r="K134" s="8">
        <v>46813</v>
      </c>
      <c r="L134" t="s">
        <v>170</v>
      </c>
      <c r="N134" t="str">
        <f>IF(ISNUMBER(MATCH(L134,dim_produits!$C:$C,0)),"OK","MANQUANT")</f>
        <v>OK</v>
      </c>
    </row>
    <row r="135" spans="1:14">
      <c r="A135">
        <f t="shared" si="62"/>
        <v>134</v>
      </c>
      <c r="B135">
        <v>15</v>
      </c>
      <c r="C135" s="1">
        <f>IFERROR(_xlfn.XLOOKUP(L135,dim_produits!$C:$C,dim_produits!$A:$A,""),"")</f>
        <v>60</v>
      </c>
      <c r="D135">
        <v>1</v>
      </c>
      <c r="E135">
        <v>6</v>
      </c>
      <c r="F135">
        <f t="shared" si="59"/>
        <v>6</v>
      </c>
      <c r="G135" s="10">
        <v>1500</v>
      </c>
      <c r="H135" s="10">
        <f t="shared" si="60"/>
        <v>250</v>
      </c>
      <c r="I135" s="10">
        <f t="shared" si="61"/>
        <v>1500</v>
      </c>
      <c r="J135" s="8">
        <v>46145</v>
      </c>
      <c r="K135" s="8">
        <v>46876</v>
      </c>
      <c r="L135" t="s">
        <v>154</v>
      </c>
      <c r="N135" t="str">
        <f>IF(ISNUMBER(MATCH(L135,dim_produits!$C:$C,0)),"OK","MANQUANT")</f>
        <v>OK</v>
      </c>
    </row>
    <row r="136" spans="1:14">
      <c r="A136">
        <f t="shared" si="62"/>
        <v>135</v>
      </c>
      <c r="B136">
        <v>15</v>
      </c>
      <c r="C136" s="1">
        <f>IFERROR(_xlfn.XLOOKUP(L136,dim_produits!$C:$C,dim_produits!$A:$A,""),"")</f>
        <v>61</v>
      </c>
      <c r="D136">
        <v>1</v>
      </c>
      <c r="E136">
        <v>6</v>
      </c>
      <c r="F136">
        <f t="shared" si="59"/>
        <v>6</v>
      </c>
      <c r="G136" s="10">
        <v>3500</v>
      </c>
      <c r="H136" s="10">
        <f t="shared" si="60"/>
        <v>583.33333333333337</v>
      </c>
      <c r="I136" s="10">
        <f t="shared" si="61"/>
        <v>3500</v>
      </c>
      <c r="J136" s="8">
        <v>46047</v>
      </c>
      <c r="K136" s="8">
        <v>46776</v>
      </c>
      <c r="L136" t="s">
        <v>155</v>
      </c>
      <c r="N136" t="str">
        <f>IF(ISNUMBER(MATCH(L136,dim_produits!$C:$C,0)),"OK","MANQUANT")</f>
        <v>OK</v>
      </c>
    </row>
    <row r="137" spans="1:14">
      <c r="A137">
        <f t="shared" si="62"/>
        <v>136</v>
      </c>
      <c r="B137">
        <v>15</v>
      </c>
      <c r="C137" s="1">
        <f>IFERROR(_xlfn.XLOOKUP(L137,dim_produits!$C:$C,dim_produits!$A:$A,""),"")</f>
        <v>40</v>
      </c>
      <c r="D137">
        <v>1</v>
      </c>
      <c r="E137">
        <v>156</v>
      </c>
      <c r="F137">
        <f t="shared" si="59"/>
        <v>156</v>
      </c>
      <c r="G137" s="10">
        <v>5500</v>
      </c>
      <c r="H137" s="10">
        <f t="shared" si="60"/>
        <v>35.256410256410255</v>
      </c>
      <c r="I137" s="10">
        <f t="shared" si="61"/>
        <v>5500</v>
      </c>
      <c r="J137" s="8">
        <v>46082</v>
      </c>
      <c r="K137" s="8">
        <v>46776</v>
      </c>
      <c r="L137" t="s">
        <v>156</v>
      </c>
      <c r="N137" t="str">
        <f>IF(ISNUMBER(MATCH(L137,dim_produits!$C:$C,0)),"OK","MANQUANT")</f>
        <v>OK</v>
      </c>
    </row>
    <row r="138" spans="1:14">
      <c r="A138">
        <f t="shared" si="62"/>
        <v>137</v>
      </c>
      <c r="B138">
        <v>15</v>
      </c>
      <c r="C138" s="1">
        <f>IFERROR(_xlfn.XLOOKUP(L138,dim_produits!$C:$C,dim_produits!$A:$A,""),"")</f>
        <v>41</v>
      </c>
      <c r="D138">
        <v>1</v>
      </c>
      <c r="E138">
        <v>150</v>
      </c>
      <c r="F138">
        <f t="shared" si="59"/>
        <v>150</v>
      </c>
      <c r="G138" s="10">
        <v>5600</v>
      </c>
      <c r="H138" s="10">
        <f t="shared" si="60"/>
        <v>37.333333333333336</v>
      </c>
      <c r="I138" s="10">
        <f t="shared" si="61"/>
        <v>5600</v>
      </c>
      <c r="J138" s="8">
        <v>46351</v>
      </c>
      <c r="K138" s="8">
        <v>47812</v>
      </c>
      <c r="L138" t="s">
        <v>169</v>
      </c>
      <c r="N138" t="str">
        <f>IF(ISNUMBER(MATCH(L138,dim_produits!$C:$C,0)),"OK","MANQUANT")</f>
        <v>OK</v>
      </c>
    </row>
    <row r="139" spans="1:14">
      <c r="A139">
        <f t="shared" si="62"/>
        <v>138</v>
      </c>
      <c r="B139">
        <v>15</v>
      </c>
      <c r="C139" s="1">
        <f>IFERROR(_xlfn.XLOOKUP(L139,dim_produits!$C:$C,dim_produits!$A:$A,""),"")</f>
        <v>62</v>
      </c>
      <c r="D139">
        <v>1</v>
      </c>
      <c r="E139">
        <v>12</v>
      </c>
      <c r="F139">
        <f t="shared" si="59"/>
        <v>12</v>
      </c>
      <c r="G139" s="10">
        <v>2300</v>
      </c>
      <c r="H139" s="10">
        <f t="shared" si="60"/>
        <v>191.66666666666666</v>
      </c>
      <c r="I139" s="10">
        <f t="shared" si="61"/>
        <v>2300</v>
      </c>
      <c r="J139" s="8">
        <v>46259</v>
      </c>
      <c r="K139" s="8">
        <v>49550</v>
      </c>
      <c r="L139" t="s">
        <v>157</v>
      </c>
      <c r="N139" t="str">
        <f>IF(ISNUMBER(MATCH(L139,dim_produits!$C:$C,0)),"OK","MANQUANT")</f>
        <v>OK</v>
      </c>
    </row>
    <row r="140" spans="1:14">
      <c r="A140">
        <f t="shared" si="62"/>
        <v>139</v>
      </c>
      <c r="B140">
        <v>15</v>
      </c>
      <c r="C140" s="1">
        <f>IFERROR(_xlfn.XLOOKUP(L140,dim_produits!$C:$C,dim_produits!$A:$A,""),"")</f>
        <v>97</v>
      </c>
      <c r="D140">
        <v>10</v>
      </c>
      <c r="E140">
        <v>20</v>
      </c>
      <c r="F140">
        <f t="shared" si="59"/>
        <v>200</v>
      </c>
      <c r="G140" s="114">
        <v>380</v>
      </c>
      <c r="H140" s="10">
        <f t="shared" si="60"/>
        <v>19</v>
      </c>
      <c r="I140" s="10">
        <f t="shared" si="61"/>
        <v>3800</v>
      </c>
      <c r="J140" s="8">
        <v>46023</v>
      </c>
      <c r="K140" s="8">
        <v>46569</v>
      </c>
      <c r="L140" s="109" t="s">
        <v>350</v>
      </c>
      <c r="N140" t="str">
        <f>IF(ISNUMBER(MATCH(L140,dim_produits!$C:$C,0)),"OK","MANQUANT")</f>
        <v>OK</v>
      </c>
    </row>
    <row r="141" spans="1:14">
      <c r="A141">
        <f t="shared" si="62"/>
        <v>140</v>
      </c>
      <c r="B141">
        <v>15</v>
      </c>
      <c r="C141" s="1">
        <f>IFERROR(_xlfn.XLOOKUP(L141,dim_produits!$C:$C,dim_produits!$A:$A,""),"")</f>
        <v>98</v>
      </c>
      <c r="D141">
        <v>10</v>
      </c>
      <c r="E141">
        <v>20</v>
      </c>
      <c r="F141">
        <f t="shared" si="59"/>
        <v>200</v>
      </c>
      <c r="G141" s="114">
        <v>780</v>
      </c>
      <c r="H141" s="10">
        <f t="shared" si="60"/>
        <v>39</v>
      </c>
      <c r="I141" s="10">
        <f t="shared" si="61"/>
        <v>7800</v>
      </c>
      <c r="J141" s="8">
        <v>45992</v>
      </c>
      <c r="K141" s="8">
        <v>46722</v>
      </c>
      <c r="L141" s="109" t="s">
        <v>159</v>
      </c>
      <c r="N141" t="str">
        <f>IF(ISNUMBER(MATCH(L141,dim_produits!$C:$C,0)),"OK","MANQUANT")</f>
        <v>OK</v>
      </c>
    </row>
    <row r="142" spans="1:14">
      <c r="A142">
        <f t="shared" si="62"/>
        <v>141</v>
      </c>
      <c r="B142">
        <v>15</v>
      </c>
      <c r="C142" s="1">
        <f>IFERROR(_xlfn.XLOOKUP(L142,dim_produits!$C:$C,dim_produits!$A:$A,""),"")</f>
        <v>25</v>
      </c>
      <c r="D142">
        <v>1</v>
      </c>
      <c r="E142">
        <v>50</v>
      </c>
      <c r="F142">
        <f t="shared" si="59"/>
        <v>50</v>
      </c>
      <c r="G142" s="10">
        <v>2500</v>
      </c>
      <c r="H142" s="10">
        <f>G142/E142</f>
        <v>50</v>
      </c>
      <c r="I142" s="10">
        <f>G142*D142</f>
        <v>2500</v>
      </c>
      <c r="J142" s="8">
        <v>45992</v>
      </c>
      <c r="K142" s="8">
        <v>46722</v>
      </c>
      <c r="L142" t="s">
        <v>160</v>
      </c>
      <c r="N142" t="str">
        <f>IF(ISNUMBER(MATCH(L142,dim_produits!$C:$C,0)),"OK","MANQUANT")</f>
        <v>OK</v>
      </c>
    </row>
    <row r="143" spans="1:14">
      <c r="A143">
        <f t="shared" si="62"/>
        <v>142</v>
      </c>
      <c r="B143">
        <v>15</v>
      </c>
      <c r="C143" s="1">
        <f>IFERROR(_xlfn.XLOOKUP(L143,dim_produits!$C:$C,dim_produits!$A:$A,""),"")</f>
        <v>63</v>
      </c>
      <c r="D143">
        <v>1</v>
      </c>
      <c r="E143">
        <v>12</v>
      </c>
      <c r="F143">
        <f t="shared" si="59"/>
        <v>12</v>
      </c>
      <c r="G143" s="10">
        <v>850</v>
      </c>
      <c r="H143" s="10">
        <f t="shared" ref="H143:H146" si="63">G143/E143</f>
        <v>70.833333333333329</v>
      </c>
      <c r="I143" s="10">
        <f t="shared" ref="I143:I146" si="64">G143*D143</f>
        <v>850</v>
      </c>
      <c r="J143" s="8">
        <v>45992</v>
      </c>
      <c r="K143" s="8">
        <v>46722</v>
      </c>
      <c r="L143" t="s">
        <v>161</v>
      </c>
      <c r="N143" t="str">
        <f>IF(ISNUMBER(MATCH(L143,dim_produits!$C:$C,0)),"OK","MANQUANT")</f>
        <v>OK</v>
      </c>
    </row>
    <row r="144" spans="1:14">
      <c r="A144">
        <f t="shared" si="62"/>
        <v>143</v>
      </c>
      <c r="B144">
        <v>15</v>
      </c>
      <c r="C144" s="1">
        <f>IFERROR(_xlfn.XLOOKUP(L144,dim_produits!$C:$C,dim_produits!$A:$A,""),"")</f>
        <v>43</v>
      </c>
      <c r="D144">
        <v>1</v>
      </c>
      <c r="E144">
        <v>12</v>
      </c>
      <c r="F144">
        <f t="shared" si="59"/>
        <v>12</v>
      </c>
      <c r="G144" s="10">
        <v>7500</v>
      </c>
      <c r="H144" s="10">
        <f>G144/E144</f>
        <v>625</v>
      </c>
      <c r="I144" s="10">
        <f t="shared" si="64"/>
        <v>7500</v>
      </c>
      <c r="J144" s="8">
        <v>45992</v>
      </c>
      <c r="K144" s="8">
        <v>46722</v>
      </c>
      <c r="L144" t="s">
        <v>171</v>
      </c>
      <c r="N144" t="str">
        <f>IF(ISNUMBER(MATCH(L144,dim_produits!$C:$C,0)),"OK","MANQUANT")</f>
        <v>OK</v>
      </c>
    </row>
    <row r="145" spans="1:14">
      <c r="A145">
        <f t="shared" si="62"/>
        <v>144</v>
      </c>
      <c r="B145">
        <v>15</v>
      </c>
      <c r="C145" s="1">
        <f>IFERROR(_xlfn.XLOOKUP(L145,dim_produits!$C:$C,dim_produits!$A:$A,""),"")</f>
        <v>44</v>
      </c>
      <c r="D145">
        <v>1</v>
      </c>
      <c r="E145">
        <v>150</v>
      </c>
      <c r="F145">
        <f t="shared" si="59"/>
        <v>150</v>
      </c>
      <c r="G145" s="10">
        <v>8500</v>
      </c>
      <c r="H145" s="10">
        <f t="shared" si="63"/>
        <v>56.666666666666664</v>
      </c>
      <c r="I145" s="10">
        <f t="shared" si="64"/>
        <v>8500</v>
      </c>
      <c r="J145" s="8">
        <v>46009</v>
      </c>
      <c r="K145" s="8">
        <v>46556</v>
      </c>
      <c r="L145" t="s">
        <v>162</v>
      </c>
      <c r="N145" t="str">
        <f>IF(ISNUMBER(MATCH(L145,dim_produits!$C:$C,0)),"OK","MANQUANT")</f>
        <v>OK</v>
      </c>
    </row>
    <row r="146" spans="1:14">
      <c r="A146">
        <f t="shared" si="62"/>
        <v>145</v>
      </c>
      <c r="B146">
        <v>15</v>
      </c>
      <c r="C146" s="1">
        <f>IFERROR(_xlfn.XLOOKUP(L146,dim_produits!$C:$C,dim_produits!$A:$A,""),"")</f>
        <v>99</v>
      </c>
      <c r="D146">
        <v>10</v>
      </c>
      <c r="E146">
        <v>20</v>
      </c>
      <c r="F146">
        <f t="shared" si="59"/>
        <v>200</v>
      </c>
      <c r="G146" s="114">
        <v>400</v>
      </c>
      <c r="H146" s="10">
        <f t="shared" si="63"/>
        <v>20</v>
      </c>
      <c r="I146" s="10">
        <f t="shared" si="64"/>
        <v>4000</v>
      </c>
      <c r="J146" s="8">
        <v>46023</v>
      </c>
      <c r="K146" s="8">
        <v>46569</v>
      </c>
      <c r="L146" s="109" t="s">
        <v>163</v>
      </c>
      <c r="N146" t="str">
        <f>IF(ISNUMBER(MATCH(L146,dim_produits!$C:$C,0)),"OK","MANQUANT")</f>
        <v>OK</v>
      </c>
    </row>
    <row r="147" spans="1:14">
      <c r="A147">
        <f t="shared" si="62"/>
        <v>146</v>
      </c>
      <c r="B147">
        <v>15</v>
      </c>
      <c r="C147" s="1">
        <f>IFERROR(_xlfn.XLOOKUP(L147,dim_produits!$C:$C,dim_produits!$A:$A,""),"")</f>
        <v>45</v>
      </c>
      <c r="D147">
        <v>6</v>
      </c>
      <c r="E147">
        <v>50</v>
      </c>
      <c r="F147">
        <f t="shared" si="59"/>
        <v>300</v>
      </c>
      <c r="G147" s="114">
        <v>1200</v>
      </c>
      <c r="H147" s="10">
        <f>G147/E147</f>
        <v>24</v>
      </c>
      <c r="I147" s="10">
        <f>G147*D147</f>
        <v>7200</v>
      </c>
      <c r="J147" s="8">
        <v>46159</v>
      </c>
      <c r="K147" s="8">
        <v>46524</v>
      </c>
      <c r="L147" s="109" t="s">
        <v>164</v>
      </c>
      <c r="N147" t="str">
        <f>IF(ISNUMBER(MATCH(L147,dim_produits!$C:$C,0)),"OK","MANQUANT")</f>
        <v>OK</v>
      </c>
    </row>
    <row r="148" spans="1:14">
      <c r="A148">
        <f t="shared" si="62"/>
        <v>147</v>
      </c>
      <c r="B148">
        <v>15</v>
      </c>
      <c r="C148" s="1">
        <f>IFERROR(_xlfn.XLOOKUP(L148,dim_produits!$C:$C,dim_produits!$A:$A,""),"")</f>
        <v>2</v>
      </c>
      <c r="D148">
        <v>1</v>
      </c>
      <c r="E148">
        <v>240</v>
      </c>
      <c r="F148">
        <f t="shared" si="59"/>
        <v>240</v>
      </c>
      <c r="G148" s="10">
        <v>4500</v>
      </c>
      <c r="H148" s="10">
        <f>G148/E148</f>
        <v>18.75</v>
      </c>
      <c r="I148" s="10">
        <f t="shared" ref="I148:I151" si="65">G148*D148</f>
        <v>4500</v>
      </c>
      <c r="J148" s="8">
        <v>46143</v>
      </c>
      <c r="K148" s="8">
        <v>46507</v>
      </c>
      <c r="L148" t="s">
        <v>165</v>
      </c>
      <c r="N148" t="str">
        <f>IF(ISNUMBER(MATCH(L148,dim_produits!$C:$C,0)),"OK","MANQUANT")</f>
        <v>OK</v>
      </c>
    </row>
    <row r="149" spans="1:14">
      <c r="A149">
        <f t="shared" si="62"/>
        <v>148</v>
      </c>
      <c r="B149">
        <v>15</v>
      </c>
      <c r="C149" s="1">
        <f>IFERROR(_xlfn.XLOOKUP(L149,dim_produits!$C:$C,dim_produits!$A:$A,""),"")</f>
        <v>3</v>
      </c>
      <c r="D149">
        <v>1</v>
      </c>
      <c r="E149">
        <v>120</v>
      </c>
      <c r="F149">
        <f t="shared" si="59"/>
        <v>120</v>
      </c>
      <c r="G149" s="10">
        <v>4800</v>
      </c>
      <c r="H149" s="10">
        <f>G149/E149</f>
        <v>40</v>
      </c>
      <c r="I149" s="10">
        <f t="shared" si="65"/>
        <v>4800</v>
      </c>
      <c r="J149" s="8">
        <v>46143</v>
      </c>
      <c r="K149" s="8">
        <v>46507</v>
      </c>
      <c r="L149" t="s">
        <v>166</v>
      </c>
      <c r="N149" t="str">
        <f>IF(ISNUMBER(MATCH(L149,dim_produits!$C:$C,0)),"OK","MANQUANT")</f>
        <v>OK</v>
      </c>
    </row>
    <row r="150" spans="1:14">
      <c r="A150">
        <f t="shared" si="62"/>
        <v>149</v>
      </c>
      <c r="B150">
        <v>15</v>
      </c>
      <c r="C150" s="1">
        <f>IFERROR(_xlfn.XLOOKUP(L150,dim_produits!$C:$C,dim_produits!$A:$A,""),"")</f>
        <v>4</v>
      </c>
      <c r="D150">
        <v>1</v>
      </c>
      <c r="E150">
        <v>120</v>
      </c>
      <c r="F150">
        <f t="shared" si="59"/>
        <v>120</v>
      </c>
      <c r="G150" s="10">
        <v>4700</v>
      </c>
      <c r="H150" s="10">
        <f t="shared" ref="H150" si="66">G150/E150</f>
        <v>39.166666666666664</v>
      </c>
      <c r="I150" s="10">
        <f t="shared" si="65"/>
        <v>4700</v>
      </c>
      <c r="J150" s="8">
        <v>46143</v>
      </c>
      <c r="K150" s="8">
        <v>46447</v>
      </c>
      <c r="L150" t="s">
        <v>168</v>
      </c>
      <c r="N150" t="str">
        <f>IF(ISNUMBER(MATCH(L150,dim_produits!$C:$C,0)),"OK","MANQUANT")</f>
        <v>OK</v>
      </c>
    </row>
    <row r="151" spans="1:14">
      <c r="A151">
        <f t="shared" si="62"/>
        <v>150</v>
      </c>
      <c r="B151">
        <v>15</v>
      </c>
      <c r="C151" s="1">
        <f>IFERROR(_xlfn.XLOOKUP(L151,dim_produits!$C:$C,dim_produits!$A:$A,""),"")</f>
        <v>64</v>
      </c>
      <c r="D151">
        <v>1</v>
      </c>
      <c r="E151">
        <v>48</v>
      </c>
      <c r="F151">
        <f t="shared" si="59"/>
        <v>48</v>
      </c>
      <c r="G151" s="10">
        <v>11500</v>
      </c>
      <c r="H151" s="10">
        <f>G151/E151</f>
        <v>239.58333333333334</v>
      </c>
      <c r="I151" s="10">
        <f t="shared" si="65"/>
        <v>11500</v>
      </c>
      <c r="J151" s="8">
        <v>46143</v>
      </c>
      <c r="K151" s="8">
        <v>46447</v>
      </c>
      <c r="L151" t="s">
        <v>167</v>
      </c>
      <c r="N151" t="str">
        <f>IF(ISNUMBER(MATCH(L151,dim_produits!$C:$C,0)),"OK","MANQUANT")</f>
        <v>OK</v>
      </c>
    </row>
    <row r="152" spans="1:14">
      <c r="A152">
        <f t="shared" si="62"/>
        <v>151</v>
      </c>
      <c r="B152">
        <v>15</v>
      </c>
      <c r="C152" s="1">
        <f>IFERROR(_xlfn.XLOOKUP(L152,dim_produits!$C:$C,dim_produits!$A:$A,""),"")</f>
        <v>101</v>
      </c>
      <c r="D152">
        <v>1</v>
      </c>
      <c r="E152">
        <v>12</v>
      </c>
      <c r="F152">
        <f t="shared" si="59"/>
        <v>12</v>
      </c>
      <c r="G152" s="10">
        <v>11500</v>
      </c>
      <c r="H152" s="10">
        <f t="shared" ref="H152:H160" si="67">G152/E152</f>
        <v>958.33333333333337</v>
      </c>
      <c r="I152" s="10">
        <f t="shared" ref="I152:I160" si="68">G152*D152</f>
        <v>11500</v>
      </c>
      <c r="J152" s="8">
        <v>46143</v>
      </c>
      <c r="K152" s="8">
        <v>46447</v>
      </c>
      <c r="L152" t="s">
        <v>185</v>
      </c>
      <c r="N152" t="str">
        <f>IF(ISNUMBER(MATCH(L152,dim_produits!$C:$C,0)),"OK","MANQUANT")</f>
        <v>OK</v>
      </c>
    </row>
    <row r="153" spans="1:14">
      <c r="A153">
        <f t="shared" si="62"/>
        <v>152</v>
      </c>
      <c r="B153">
        <v>15</v>
      </c>
      <c r="C153" s="1">
        <f>IFERROR(_xlfn.XLOOKUP(L153,dim_produits!$C:$C,dim_produits!$A:$A,""),"")</f>
        <v>102</v>
      </c>
      <c r="D153">
        <v>1</v>
      </c>
      <c r="E153">
        <v>12</v>
      </c>
      <c r="F153">
        <f t="shared" si="59"/>
        <v>12</v>
      </c>
      <c r="G153" s="10">
        <v>12000</v>
      </c>
      <c r="H153" s="10">
        <f t="shared" si="67"/>
        <v>1000</v>
      </c>
      <c r="I153" s="10">
        <f t="shared" si="68"/>
        <v>12000</v>
      </c>
      <c r="J153" s="8">
        <v>46137</v>
      </c>
      <c r="K153" s="8">
        <v>46447</v>
      </c>
      <c r="L153" t="s">
        <v>172</v>
      </c>
      <c r="N153" t="str">
        <f>IF(ISNUMBER(MATCH(L153,dim_produits!$C:$C,0)),"OK","MANQUANT")</f>
        <v>OK</v>
      </c>
    </row>
    <row r="154" spans="1:14">
      <c r="A154">
        <f t="shared" si="62"/>
        <v>153</v>
      </c>
      <c r="B154">
        <v>15</v>
      </c>
      <c r="C154" s="1">
        <f>IFERROR(_xlfn.XLOOKUP(L154,dim_produits!$C:$C,dim_produits!$A:$A,""),"")</f>
        <v>103</v>
      </c>
      <c r="D154">
        <v>1</v>
      </c>
      <c r="E154">
        <v>12</v>
      </c>
      <c r="F154">
        <f t="shared" si="59"/>
        <v>12</v>
      </c>
      <c r="G154" s="10">
        <v>11500</v>
      </c>
      <c r="H154" s="10">
        <f t="shared" si="67"/>
        <v>958.33333333333337</v>
      </c>
      <c r="I154" s="10">
        <f t="shared" si="68"/>
        <v>11500</v>
      </c>
      <c r="J154" s="8">
        <v>46045</v>
      </c>
      <c r="K154" s="8">
        <v>46447</v>
      </c>
      <c r="L154" t="s">
        <v>173</v>
      </c>
      <c r="N154" t="str">
        <f>IF(ISNUMBER(MATCH(L154,dim_produits!$C:$C,0)),"OK","MANQUANT")</f>
        <v>OK</v>
      </c>
    </row>
    <row r="155" spans="1:14">
      <c r="A155">
        <f t="shared" si="62"/>
        <v>154</v>
      </c>
      <c r="B155">
        <v>15</v>
      </c>
      <c r="C155" s="1">
        <f>IFERROR(_xlfn.XLOOKUP(L155,dim_produits!$C:$C,dim_produits!$A:$A,""),"")</f>
        <v>104</v>
      </c>
      <c r="D155">
        <v>1</v>
      </c>
      <c r="E155">
        <v>12</v>
      </c>
      <c r="F155">
        <f t="shared" si="59"/>
        <v>12</v>
      </c>
      <c r="G155" s="10">
        <v>7500</v>
      </c>
      <c r="H155" s="10">
        <f t="shared" si="67"/>
        <v>625</v>
      </c>
      <c r="I155" s="10">
        <f t="shared" si="68"/>
        <v>7500</v>
      </c>
      <c r="J155" s="8">
        <v>46045</v>
      </c>
      <c r="K155" s="8">
        <v>46447</v>
      </c>
      <c r="L155" t="s">
        <v>174</v>
      </c>
      <c r="N155" t="str">
        <f>IF(ISNUMBER(MATCH(L155,dim_produits!$C:$C,0)),"OK","MANQUANT")</f>
        <v>OK</v>
      </c>
    </row>
    <row r="156" spans="1:14">
      <c r="A156">
        <f t="shared" si="62"/>
        <v>155</v>
      </c>
      <c r="B156">
        <v>15</v>
      </c>
      <c r="C156" s="1">
        <f>IFERROR(_xlfn.XLOOKUP(L156,dim_produits!$C:$C,dim_produits!$A:$A,""),"")</f>
        <v>46</v>
      </c>
      <c r="D156">
        <v>1</v>
      </c>
      <c r="E156">
        <v>15</v>
      </c>
      <c r="F156">
        <f t="shared" si="59"/>
        <v>15</v>
      </c>
      <c r="G156" s="10">
        <v>21000</v>
      </c>
      <c r="H156" s="10">
        <f t="shared" si="67"/>
        <v>1400</v>
      </c>
      <c r="I156" s="10">
        <f t="shared" si="68"/>
        <v>21000</v>
      </c>
      <c r="J156" s="8">
        <v>46101</v>
      </c>
      <c r="K156" s="8">
        <v>46914</v>
      </c>
      <c r="L156" t="s">
        <v>175</v>
      </c>
      <c r="N156" t="str">
        <f>IF(ISNUMBER(MATCH(L156,dim_produits!$C:$C,0)),"OK","MANQUANT")</f>
        <v>OK</v>
      </c>
    </row>
    <row r="157" spans="1:14">
      <c r="A157">
        <f t="shared" si="62"/>
        <v>156</v>
      </c>
      <c r="B157">
        <v>15</v>
      </c>
      <c r="C157" s="1">
        <f>IFERROR(_xlfn.XLOOKUP(L157,dim_produits!$C:$C,dim_produits!$A:$A,""),"")</f>
        <v>26</v>
      </c>
      <c r="D157">
        <v>1</v>
      </c>
      <c r="E157">
        <v>50</v>
      </c>
      <c r="F157">
        <f t="shared" si="59"/>
        <v>50</v>
      </c>
      <c r="G157" s="10">
        <v>4300</v>
      </c>
      <c r="H157" s="10">
        <f t="shared" si="67"/>
        <v>86</v>
      </c>
      <c r="I157" s="10">
        <f t="shared" si="68"/>
        <v>4300</v>
      </c>
      <c r="J157" s="8">
        <v>46038</v>
      </c>
      <c r="K157" s="8">
        <v>46874</v>
      </c>
      <c r="L157" t="s">
        <v>176</v>
      </c>
      <c r="N157" t="str">
        <f>IF(ISNUMBER(MATCH(L157,dim_produits!$C:$C,0)),"OK","MANQUANT")</f>
        <v>OK</v>
      </c>
    </row>
    <row r="158" spans="1:14">
      <c r="A158">
        <f t="shared" si="62"/>
        <v>157</v>
      </c>
      <c r="B158">
        <v>15</v>
      </c>
      <c r="C158" s="1">
        <f>IFERROR(_xlfn.XLOOKUP(L158,dim_produits!$C:$C,dim_produits!$A:$A,""),"")</f>
        <v>27</v>
      </c>
      <c r="D158">
        <v>1</v>
      </c>
      <c r="E158">
        <v>48</v>
      </c>
      <c r="F158">
        <f t="shared" si="59"/>
        <v>48</v>
      </c>
      <c r="G158" s="10">
        <v>1800</v>
      </c>
      <c r="H158" s="10">
        <f t="shared" si="67"/>
        <v>37.5</v>
      </c>
      <c r="I158" s="10">
        <f t="shared" si="68"/>
        <v>1800</v>
      </c>
      <c r="J158" s="8">
        <v>45809</v>
      </c>
      <c r="K158" s="8">
        <v>46508</v>
      </c>
      <c r="L158" t="s">
        <v>177</v>
      </c>
      <c r="N158" t="str">
        <f>IF(ISNUMBER(MATCH(L158,dim_produits!$C:$C,0)),"OK","MANQUANT")</f>
        <v>OK</v>
      </c>
    </row>
    <row r="159" spans="1:14">
      <c r="A159">
        <f t="shared" si="62"/>
        <v>158</v>
      </c>
      <c r="B159">
        <v>15</v>
      </c>
      <c r="C159" s="1">
        <f>IFERROR(_xlfn.XLOOKUP(L159,dim_produits!$C:$C,dim_produits!$A:$A,""),"")</f>
        <v>66</v>
      </c>
      <c r="D159">
        <v>1</v>
      </c>
      <c r="E159">
        <v>12</v>
      </c>
      <c r="F159">
        <f t="shared" si="59"/>
        <v>12</v>
      </c>
      <c r="G159" s="10">
        <v>6700</v>
      </c>
      <c r="H159" s="10">
        <f t="shared" si="67"/>
        <v>558.33333333333337</v>
      </c>
      <c r="I159" s="10">
        <f t="shared" si="68"/>
        <v>6700</v>
      </c>
      <c r="J159" s="8">
        <v>45818</v>
      </c>
      <c r="K159" s="8">
        <v>46913</v>
      </c>
      <c r="L159" t="s">
        <v>262</v>
      </c>
      <c r="N159" t="str">
        <f>IF(ISNUMBER(MATCH(L159,dim_produits!$C:$C,0)),"OK","MANQUANT")</f>
        <v>OK</v>
      </c>
    </row>
    <row r="160" spans="1:14">
      <c r="A160">
        <f t="shared" si="62"/>
        <v>159</v>
      </c>
      <c r="B160">
        <v>15</v>
      </c>
      <c r="C160" s="1">
        <f>IFERROR(_xlfn.XLOOKUP(L160,dim_produits!$C:$C,dim_produits!$A:$A,""),"")</f>
        <v>67</v>
      </c>
      <c r="D160">
        <v>1</v>
      </c>
      <c r="E160">
        <v>6</v>
      </c>
      <c r="F160">
        <f t="shared" si="59"/>
        <v>6</v>
      </c>
      <c r="G160" s="10">
        <v>2500</v>
      </c>
      <c r="H160" s="10">
        <f t="shared" si="67"/>
        <v>416.66666666666669</v>
      </c>
      <c r="I160" s="10">
        <f t="shared" si="68"/>
        <v>2500</v>
      </c>
      <c r="J160" s="8">
        <v>46163</v>
      </c>
      <c r="K160" s="8">
        <v>47258</v>
      </c>
      <c r="L160" t="s">
        <v>264</v>
      </c>
      <c r="N160" t="str">
        <f>IF(ISNUMBER(MATCH(L160,dim_produits!$C:$C,0)),"OK","MANQUANT")</f>
        <v>OK</v>
      </c>
    </row>
    <row r="161" spans="1:14">
      <c r="A161">
        <f t="shared" si="62"/>
        <v>160</v>
      </c>
      <c r="B161">
        <v>15</v>
      </c>
      <c r="C161" s="1">
        <f>IFERROR(_xlfn.XLOOKUP(L161,dim_produits!$C:$C,dim_produits!$A:$A,""),"")</f>
        <v>68</v>
      </c>
      <c r="D161">
        <v>1</v>
      </c>
      <c r="E161">
        <v>6</v>
      </c>
      <c r="F161">
        <f t="shared" si="59"/>
        <v>6</v>
      </c>
      <c r="G161" s="10">
        <v>2500</v>
      </c>
      <c r="H161" s="10">
        <f t="shared" ref="H161:H163" si="69">G161/E161</f>
        <v>416.66666666666669</v>
      </c>
      <c r="I161" s="10">
        <f t="shared" ref="I161:I163" si="70">G161*D161</f>
        <v>2500</v>
      </c>
      <c r="J161" s="8">
        <v>46093</v>
      </c>
      <c r="K161" s="8">
        <v>47188</v>
      </c>
      <c r="L161" t="s">
        <v>178</v>
      </c>
      <c r="N161" t="str">
        <f>IF(ISNUMBER(MATCH(L161,dim_produits!$C:$C,0)),"OK","MANQUANT")</f>
        <v>OK</v>
      </c>
    </row>
    <row r="162" spans="1:14">
      <c r="A162">
        <f t="shared" si="62"/>
        <v>161</v>
      </c>
      <c r="B162">
        <v>15</v>
      </c>
      <c r="C162" s="1">
        <f>IFERROR(_xlfn.XLOOKUP(L162,dim_produits!$C:$C,dim_produits!$A:$A,""),"")</f>
        <v>1</v>
      </c>
      <c r="D162">
        <v>1</v>
      </c>
      <c r="E162">
        <v>100</v>
      </c>
      <c r="F162">
        <f t="shared" si="59"/>
        <v>100</v>
      </c>
      <c r="G162" s="10">
        <v>850</v>
      </c>
      <c r="H162" s="10">
        <f t="shared" si="69"/>
        <v>8.5</v>
      </c>
      <c r="I162" s="10">
        <f t="shared" si="70"/>
        <v>850</v>
      </c>
      <c r="J162" s="8">
        <v>46113</v>
      </c>
      <c r="K162" s="8">
        <v>46592</v>
      </c>
      <c r="L162" t="s">
        <v>179</v>
      </c>
      <c r="N162" t="str">
        <f>IF(ISNUMBER(MATCH(L162,dim_produits!$C:$C,0)),"OK","MANQUANT")</f>
        <v>OK</v>
      </c>
    </row>
    <row r="163" spans="1:14">
      <c r="A163">
        <f t="shared" si="62"/>
        <v>162</v>
      </c>
      <c r="B163">
        <v>15</v>
      </c>
      <c r="C163" s="1">
        <f>IFERROR(_xlfn.XLOOKUP(L163,dim_produits!$C:$C,dim_produits!$A:$A,""),"")</f>
        <v>28</v>
      </c>
      <c r="D163">
        <v>1</v>
      </c>
      <c r="E163">
        <v>98</v>
      </c>
      <c r="F163">
        <f t="shared" si="59"/>
        <v>98</v>
      </c>
      <c r="G163" s="10">
        <v>1300</v>
      </c>
      <c r="H163" s="10">
        <f t="shared" si="69"/>
        <v>13.26530612244898</v>
      </c>
      <c r="I163" s="10">
        <f t="shared" si="70"/>
        <v>1300</v>
      </c>
      <c r="J163" s="8">
        <v>45993</v>
      </c>
      <c r="K163" s="8">
        <v>46539</v>
      </c>
      <c r="L163" t="s">
        <v>267</v>
      </c>
      <c r="N163" t="str">
        <f>IF(ISNUMBER(MATCH(L163,dim_produits!$C:$C,0)),"OK","MANQUANT")</f>
        <v>OK</v>
      </c>
    </row>
    <row r="164" spans="1:14">
      <c r="A164">
        <f t="shared" si="62"/>
        <v>163</v>
      </c>
      <c r="B164">
        <v>15</v>
      </c>
      <c r="C164" s="1">
        <f>IFERROR(_xlfn.XLOOKUP(L164,dim_produits!$C:$C,dim_produits!$A:$A,""),"")</f>
        <v>70</v>
      </c>
      <c r="D164">
        <v>1</v>
      </c>
      <c r="E164">
        <v>24</v>
      </c>
      <c r="F164">
        <f t="shared" si="59"/>
        <v>24</v>
      </c>
      <c r="G164" s="10">
        <v>7800</v>
      </c>
      <c r="H164" s="10">
        <f t="shared" ref="H164:H167" si="71">G164/E164</f>
        <v>325</v>
      </c>
      <c r="I164" s="10">
        <f t="shared" ref="I164:I167" si="72">G164*D164</f>
        <v>7800</v>
      </c>
      <c r="J164" s="8">
        <v>46190</v>
      </c>
      <c r="K164" s="8">
        <v>46555</v>
      </c>
      <c r="L164" t="s">
        <v>180</v>
      </c>
      <c r="N164" t="str">
        <f>IF(ISNUMBER(MATCH(L164,dim_produits!$C:$C,0)),"OK","MANQUANT")</f>
        <v>OK</v>
      </c>
    </row>
    <row r="165" spans="1:14">
      <c r="A165">
        <f t="shared" si="62"/>
        <v>164</v>
      </c>
      <c r="B165">
        <v>15</v>
      </c>
      <c r="C165" s="1">
        <f>IFERROR(_xlfn.XLOOKUP(L165,dim_produits!$C:$C,dim_produits!$A:$A,""),"")</f>
        <v>69</v>
      </c>
      <c r="D165">
        <v>1</v>
      </c>
      <c r="E165">
        <v>60</v>
      </c>
      <c r="F165">
        <f t="shared" si="59"/>
        <v>60</v>
      </c>
      <c r="G165" s="10">
        <v>11500</v>
      </c>
      <c r="H165" s="10">
        <f t="shared" si="71"/>
        <v>191.66666666666666</v>
      </c>
      <c r="I165" s="10">
        <f t="shared" si="72"/>
        <v>11500</v>
      </c>
      <c r="J165" s="8">
        <v>45920</v>
      </c>
      <c r="K165" s="8">
        <v>47015</v>
      </c>
      <c r="L165" t="s">
        <v>181</v>
      </c>
      <c r="N165" t="str">
        <f>IF(ISNUMBER(MATCH(L165,dim_produits!$C:$C,0)),"OK","MANQUANT")</f>
        <v>OK</v>
      </c>
    </row>
    <row r="166" spans="1:14">
      <c r="A166">
        <f t="shared" si="62"/>
        <v>165</v>
      </c>
      <c r="B166">
        <v>16</v>
      </c>
      <c r="C166" s="1">
        <f>IFERROR(_xlfn.XLOOKUP(L166,dim_produits!$C:$C,dim_produits!$A:$A,""),"")</f>
        <v>29</v>
      </c>
      <c r="D166">
        <v>1</v>
      </c>
      <c r="E166">
        <v>50</v>
      </c>
      <c r="F166">
        <f t="shared" si="59"/>
        <v>50</v>
      </c>
      <c r="G166" s="10">
        <v>18500</v>
      </c>
      <c r="H166" s="10">
        <f t="shared" si="71"/>
        <v>370</v>
      </c>
      <c r="I166" s="10">
        <f t="shared" si="72"/>
        <v>18500</v>
      </c>
      <c r="J166" s="8">
        <v>45882</v>
      </c>
      <c r="K166" s="8">
        <v>47343</v>
      </c>
      <c r="L166" t="s">
        <v>184</v>
      </c>
      <c r="N166" t="str">
        <f>IF(ISNUMBER(MATCH(L166,dim_produits!$C:$C,0)),"OK","MANQUANT")</f>
        <v>OK</v>
      </c>
    </row>
    <row r="167" spans="1:14">
      <c r="A167">
        <f t="shared" si="62"/>
        <v>166</v>
      </c>
      <c r="B167">
        <v>17</v>
      </c>
      <c r="C167" s="1">
        <f>IFERROR(_xlfn.XLOOKUP(L167,dim_produits!$C:$C,dim_produits!$A:$A,""),"")</f>
        <v>9</v>
      </c>
      <c r="D167">
        <v>3</v>
      </c>
      <c r="E167">
        <v>12</v>
      </c>
      <c r="F167">
        <f t="shared" si="59"/>
        <v>36</v>
      </c>
      <c r="G167" s="10">
        <v>7200</v>
      </c>
      <c r="H167" s="10">
        <f t="shared" si="71"/>
        <v>600</v>
      </c>
      <c r="I167" s="10">
        <f t="shared" si="72"/>
        <v>21600</v>
      </c>
      <c r="J167" s="8">
        <v>45920</v>
      </c>
      <c r="K167" s="8">
        <v>46650</v>
      </c>
      <c r="L167" t="s">
        <v>222</v>
      </c>
      <c r="N167" t="str">
        <f>IF(ISNUMBER(MATCH(L167,dim_produits!$C:$C,0)),"OK","MANQUANT")</f>
        <v>OK</v>
      </c>
    </row>
    <row r="168" spans="1:14">
      <c r="A168">
        <f t="shared" si="62"/>
        <v>167</v>
      </c>
      <c r="B168">
        <v>17</v>
      </c>
      <c r="C168" s="1">
        <f>IFERROR(_xlfn.XLOOKUP(L168,dim_produits!$C:$C,dim_produits!$A:$A,""),"")</f>
        <v>11</v>
      </c>
      <c r="D168">
        <v>2</v>
      </c>
      <c r="E168">
        <v>12</v>
      </c>
      <c r="F168">
        <f t="shared" si="59"/>
        <v>24</v>
      </c>
      <c r="G168" s="10">
        <v>7200</v>
      </c>
      <c r="H168" s="10">
        <f t="shared" ref="H168:H172" si="73">G168/E168</f>
        <v>600</v>
      </c>
      <c r="I168" s="10">
        <f t="shared" ref="I168:I172" si="74">G168*D168</f>
        <v>14400</v>
      </c>
      <c r="J168" s="8">
        <v>45920</v>
      </c>
      <c r="K168" s="8">
        <v>46650</v>
      </c>
      <c r="L168" t="s">
        <v>223</v>
      </c>
      <c r="N168" t="str">
        <f>IF(ISNUMBER(MATCH(L168,dim_produits!$C:$C,0)),"OK","MANQUANT")</f>
        <v>OK</v>
      </c>
    </row>
    <row r="169" spans="1:14">
      <c r="A169">
        <f t="shared" si="62"/>
        <v>168</v>
      </c>
      <c r="B169">
        <v>17</v>
      </c>
      <c r="C169" s="1">
        <f>IFERROR(_xlfn.XLOOKUP(L169,dim_produits!$C:$C,dim_produits!$A:$A,""),"")</f>
        <v>17</v>
      </c>
      <c r="D169">
        <v>2</v>
      </c>
      <c r="E169">
        <v>12</v>
      </c>
      <c r="F169">
        <f t="shared" si="59"/>
        <v>24</v>
      </c>
      <c r="G169" s="10">
        <v>5400</v>
      </c>
      <c r="H169" s="10">
        <f t="shared" si="73"/>
        <v>450</v>
      </c>
      <c r="I169" s="10">
        <f t="shared" si="74"/>
        <v>10800</v>
      </c>
      <c r="J169" s="8">
        <v>45920</v>
      </c>
      <c r="K169" s="8">
        <v>46650</v>
      </c>
      <c r="L169" t="s">
        <v>225</v>
      </c>
      <c r="N169" t="str">
        <f>IF(ISNUMBER(MATCH(L169,dim_produits!$C:$C,0)),"OK","MANQUANT")</f>
        <v>OK</v>
      </c>
    </row>
    <row r="170" spans="1:14">
      <c r="A170">
        <f t="shared" si="62"/>
        <v>169</v>
      </c>
      <c r="B170">
        <v>18</v>
      </c>
      <c r="C170" s="1">
        <f>IFERROR(_xlfn.XLOOKUP(L170,dim_produits!$C:$C,dim_produits!$A:$A,""),"")</f>
        <v>9</v>
      </c>
      <c r="D170">
        <v>3</v>
      </c>
      <c r="E170">
        <v>12</v>
      </c>
      <c r="F170">
        <f t="shared" si="59"/>
        <v>36</v>
      </c>
      <c r="G170" s="10">
        <v>7200</v>
      </c>
      <c r="H170" s="10">
        <f t="shared" si="73"/>
        <v>600</v>
      </c>
      <c r="I170" s="10">
        <f t="shared" si="74"/>
        <v>21600</v>
      </c>
      <c r="J170" s="8">
        <v>45920</v>
      </c>
      <c r="K170" s="8">
        <v>46650</v>
      </c>
      <c r="L170" t="s">
        <v>222</v>
      </c>
      <c r="N170" t="str">
        <f>IF(ISNUMBER(MATCH(L170,dim_produits!$C:$C,0)),"OK","MANQUANT")</f>
        <v>OK</v>
      </c>
    </row>
    <row r="171" spans="1:14">
      <c r="A171">
        <f t="shared" si="62"/>
        <v>170</v>
      </c>
      <c r="B171">
        <v>18</v>
      </c>
      <c r="C171" s="1">
        <f>IFERROR(_xlfn.XLOOKUP(L171,dim_produits!$C:$C,dim_produits!$A:$A,""),"")</f>
        <v>11</v>
      </c>
      <c r="D171">
        <v>2</v>
      </c>
      <c r="E171">
        <v>12</v>
      </c>
      <c r="F171">
        <f t="shared" si="59"/>
        <v>24</v>
      </c>
      <c r="G171" s="10">
        <v>7200</v>
      </c>
      <c r="H171" s="10">
        <f t="shared" si="73"/>
        <v>600</v>
      </c>
      <c r="I171" s="10">
        <f t="shared" si="74"/>
        <v>14400</v>
      </c>
      <c r="J171" s="8">
        <v>45920</v>
      </c>
      <c r="K171" s="8">
        <v>46650</v>
      </c>
      <c r="L171" t="s">
        <v>223</v>
      </c>
      <c r="N171" t="str">
        <f>IF(ISNUMBER(MATCH(L171,dim_produits!$C:$C,0)),"OK","MANQUANT")</f>
        <v>OK</v>
      </c>
    </row>
    <row r="172" spans="1:14">
      <c r="A172">
        <f t="shared" si="62"/>
        <v>171</v>
      </c>
      <c r="B172">
        <v>18</v>
      </c>
      <c r="C172" s="1">
        <f>IFERROR(_xlfn.XLOOKUP(L172,dim_produits!$C:$C,dim_produits!$A:$A,""),"")</f>
        <v>17</v>
      </c>
      <c r="D172">
        <v>2</v>
      </c>
      <c r="E172">
        <v>12</v>
      </c>
      <c r="F172">
        <f t="shared" si="59"/>
        <v>24</v>
      </c>
      <c r="G172" s="10">
        <v>5400</v>
      </c>
      <c r="H172" s="10">
        <f t="shared" si="73"/>
        <v>450</v>
      </c>
      <c r="I172" s="10">
        <f t="shared" si="74"/>
        <v>10800</v>
      </c>
      <c r="J172" s="8">
        <v>45920</v>
      </c>
      <c r="K172" s="8">
        <v>46650</v>
      </c>
      <c r="L172" t="s">
        <v>225</v>
      </c>
      <c r="N172" t="str">
        <f>IF(ISNUMBER(MATCH(L172,dim_produits!$C:$C,0)),"OK","MANQUANT")</f>
        <v>OK</v>
      </c>
    </row>
    <row r="180" spans="9:9">
      <c r="I180" s="10">
        <f>SUM(I2:I172)</f>
        <v>2002938.5846666666</v>
      </c>
    </row>
  </sheetData>
  <sortState xmlns:xlrd2="http://schemas.microsoft.com/office/spreadsheetml/2017/richdata2" ref="A2:L95">
    <sortCondition ref="A2:A95"/>
  </sortState>
  <phoneticPr fontId="3" type="noConversion"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65D6-DF64-47DC-A0DD-B516923D882E}">
  <dimension ref="A1:I22"/>
  <sheetViews>
    <sheetView workbookViewId="0">
      <selection activeCell="D1" sqref="D1"/>
    </sheetView>
  </sheetViews>
  <sheetFormatPr baseColWidth="10" defaultRowHeight="14.4"/>
  <cols>
    <col min="4" max="4" width="16.21875" bestFit="1" customWidth="1"/>
    <col min="5" max="5" width="16.33203125" customWidth="1"/>
    <col min="6" max="6" width="20.6640625" style="5" customWidth="1"/>
    <col min="7" max="7" width="16.21875" bestFit="1" customWidth="1"/>
    <col min="9" max="9" width="16.21875" bestFit="1" customWidth="1"/>
    <col min="10" max="10" width="12.5546875" bestFit="1" customWidth="1"/>
  </cols>
  <sheetData>
    <row r="1" spans="1:9">
      <c r="A1" s="1" t="s">
        <v>355</v>
      </c>
      <c r="B1" s="1" t="s">
        <v>15</v>
      </c>
      <c r="C1" s="1" t="s">
        <v>112</v>
      </c>
      <c r="D1" s="1" t="s">
        <v>16</v>
      </c>
      <c r="E1" s="1" t="s">
        <v>356</v>
      </c>
      <c r="F1" s="5" t="s">
        <v>18</v>
      </c>
      <c r="G1" s="1" t="s">
        <v>20</v>
      </c>
      <c r="H1" s="1" t="s">
        <v>413</v>
      </c>
      <c r="I1" s="21"/>
    </row>
    <row r="2" spans="1:9">
      <c r="A2" s="31">
        <v>1</v>
      </c>
      <c r="B2" s="22">
        <v>46173</v>
      </c>
      <c r="C2" s="22">
        <v>46173</v>
      </c>
      <c r="D2" s="23" t="str">
        <f>IF(A2=1,"STK-INIT-001","FAC-"&amp;TEXT(A2-1,"0000"))</f>
        <v>STK-INIT-001</v>
      </c>
      <c r="E2">
        <v>1</v>
      </c>
      <c r="F2" s="21">
        <v>0</v>
      </c>
      <c r="G2" s="5">
        <f>SUMIF(dim_lignes_achat!B:B,A2,dim_lignes_achat!I:I)+F2</f>
        <v>112939.14466666667</v>
      </c>
      <c r="H2" t="s">
        <v>414</v>
      </c>
      <c r="I2" s="21"/>
    </row>
    <row r="3" spans="1:9">
      <c r="A3" s="77">
        <f>A2+1</f>
        <v>2</v>
      </c>
      <c r="B3" s="4">
        <v>46174</v>
      </c>
      <c r="C3" s="4">
        <v>46174</v>
      </c>
      <c r="D3" t="str">
        <f>IF(A3=1,"STK-INIT-001","FAC-"&amp;TEXT(A3-1,"0000"))</f>
        <v>FAC-0001</v>
      </c>
      <c r="E3">
        <v>1</v>
      </c>
      <c r="F3" s="5">
        <v>8400</v>
      </c>
      <c r="G3" s="5">
        <f>SUMIF(dim_lignes_achat!B:B,A3,dim_lignes_achat!I:I)+F3</f>
        <v>107200</v>
      </c>
      <c r="H3" t="s">
        <v>415</v>
      </c>
      <c r="I3" s="21"/>
    </row>
    <row r="4" spans="1:9">
      <c r="A4" s="77">
        <f t="shared" ref="A4:A19" si="0">A3+1</f>
        <v>3</v>
      </c>
      <c r="B4" s="4">
        <v>46176</v>
      </c>
      <c r="C4" s="4">
        <v>46176</v>
      </c>
      <c r="D4" t="str">
        <f t="shared" ref="D4:D19" si="1">IF(A4=1,"STK-INIT-001","FAC-"&amp;TEXT(A4-1,"0000"))</f>
        <v>FAC-0002</v>
      </c>
      <c r="E4">
        <v>1</v>
      </c>
      <c r="F4" s="5">
        <v>9300</v>
      </c>
      <c r="G4" s="5">
        <f>SUMIF(dim_lignes_achat!B:B,A4,dim_lignes_achat!I:I)+F4</f>
        <v>127400</v>
      </c>
      <c r="H4" t="s">
        <v>415</v>
      </c>
      <c r="I4" s="21"/>
    </row>
    <row r="5" spans="1:9">
      <c r="A5" s="77">
        <f t="shared" si="0"/>
        <v>4</v>
      </c>
      <c r="B5" s="4">
        <v>46177</v>
      </c>
      <c r="C5" s="4">
        <v>46177</v>
      </c>
      <c r="D5" t="str">
        <f t="shared" si="1"/>
        <v>FAC-0003</v>
      </c>
      <c r="E5">
        <v>1</v>
      </c>
      <c r="F5" s="5">
        <v>2400</v>
      </c>
      <c r="G5" s="5">
        <f>SUMIF(dim_lignes_achat!B:B,A5,dim_lignes_achat!I:I)+F5</f>
        <v>27000</v>
      </c>
      <c r="H5" t="s">
        <v>415</v>
      </c>
      <c r="I5" s="21"/>
    </row>
    <row r="6" spans="1:9">
      <c r="A6" s="77">
        <f t="shared" si="0"/>
        <v>5</v>
      </c>
      <c r="B6" s="4">
        <v>46179</v>
      </c>
      <c r="C6" s="4">
        <v>46179</v>
      </c>
      <c r="D6" t="str">
        <f t="shared" si="1"/>
        <v>FAC-0004</v>
      </c>
      <c r="E6">
        <v>1</v>
      </c>
      <c r="F6" s="5">
        <v>0</v>
      </c>
      <c r="G6" s="5">
        <f>SUMIF(dim_lignes_achat!B:B,A6,dim_lignes_achat!I:I)+F6</f>
        <v>70700</v>
      </c>
      <c r="H6" t="s">
        <v>415</v>
      </c>
      <c r="I6" s="21"/>
    </row>
    <row r="7" spans="1:9">
      <c r="A7" s="77">
        <f t="shared" si="0"/>
        <v>6</v>
      </c>
      <c r="B7" s="4">
        <v>46182</v>
      </c>
      <c r="C7" s="4">
        <v>46182</v>
      </c>
      <c r="D7" t="str">
        <f t="shared" si="1"/>
        <v>FAC-0005</v>
      </c>
      <c r="E7">
        <v>1</v>
      </c>
      <c r="F7" s="5">
        <v>5700</v>
      </c>
      <c r="G7" s="5">
        <f>SUMIF(dim_lignes_achat!B:B,A7,dim_lignes_achat!I:I)+F7</f>
        <v>71300</v>
      </c>
      <c r="H7" t="s">
        <v>415</v>
      </c>
      <c r="I7" s="21"/>
    </row>
    <row r="8" spans="1:9">
      <c r="A8" s="77">
        <f t="shared" si="0"/>
        <v>7</v>
      </c>
      <c r="B8" s="8">
        <v>46184</v>
      </c>
      <c r="C8" s="8">
        <v>46184</v>
      </c>
      <c r="D8" t="str">
        <f t="shared" si="1"/>
        <v>FAC-0006</v>
      </c>
      <c r="E8">
        <v>1</v>
      </c>
      <c r="F8" s="5">
        <v>9043</v>
      </c>
      <c r="G8" s="5">
        <f>SUMIF(dim_lignes_achat!B:B,A8,dim_lignes_achat!I:I)+F8</f>
        <v>151798</v>
      </c>
      <c r="H8" t="s">
        <v>415</v>
      </c>
      <c r="I8" s="21"/>
    </row>
    <row r="9" spans="1:9">
      <c r="A9" s="77">
        <f t="shared" si="0"/>
        <v>8</v>
      </c>
      <c r="B9" s="8">
        <v>46189</v>
      </c>
      <c r="C9" s="8">
        <v>46189</v>
      </c>
      <c r="D9" t="str">
        <f t="shared" si="1"/>
        <v>FAC-0007</v>
      </c>
      <c r="E9">
        <v>1</v>
      </c>
      <c r="F9" s="5">
        <v>9644</v>
      </c>
      <c r="G9" s="5">
        <f>SUMIF(dim_lignes_achat!B:B,A9,dim_lignes_achat!I:I)+F9</f>
        <v>137199</v>
      </c>
      <c r="H9" t="s">
        <v>415</v>
      </c>
      <c r="I9" s="21"/>
    </row>
    <row r="10" spans="1:9">
      <c r="A10" s="77">
        <f t="shared" si="0"/>
        <v>9</v>
      </c>
      <c r="B10" s="8">
        <v>46190</v>
      </c>
      <c r="C10" s="8">
        <v>46190</v>
      </c>
      <c r="D10" t="str">
        <f t="shared" si="1"/>
        <v>FAC-0008</v>
      </c>
      <c r="E10">
        <v>1</v>
      </c>
      <c r="F10" s="5">
        <v>4900</v>
      </c>
      <c r="G10" s="5">
        <f>SUMIF(dim_lignes_achat!B:B,A10,dim_lignes_achat!I:I)+F10</f>
        <v>57000</v>
      </c>
      <c r="H10" t="s">
        <v>415</v>
      </c>
      <c r="I10" s="21"/>
    </row>
    <row r="11" spans="1:9">
      <c r="A11" s="77">
        <f t="shared" si="0"/>
        <v>10</v>
      </c>
      <c r="B11" s="8">
        <v>46192</v>
      </c>
      <c r="C11" s="8">
        <v>46192</v>
      </c>
      <c r="D11" t="str">
        <f t="shared" si="1"/>
        <v>FAC-0009</v>
      </c>
      <c r="E11">
        <v>1</v>
      </c>
      <c r="F11" s="5">
        <v>0</v>
      </c>
      <c r="G11" s="5">
        <f>SUMIF(dim_lignes_achat!B:B,A11,dim_lignes_achat!I:I)+F11</f>
        <v>24800</v>
      </c>
      <c r="H11" t="s">
        <v>415</v>
      </c>
      <c r="I11" s="21"/>
    </row>
    <row r="12" spans="1:9">
      <c r="A12" s="77">
        <f t="shared" si="0"/>
        <v>11</v>
      </c>
      <c r="B12" s="8">
        <v>46192</v>
      </c>
      <c r="C12" s="8">
        <v>46192</v>
      </c>
      <c r="D12" t="str">
        <f t="shared" si="1"/>
        <v>FAC-0010</v>
      </c>
      <c r="E12">
        <v>1</v>
      </c>
      <c r="F12" s="5">
        <v>28800</v>
      </c>
      <c r="G12" s="5">
        <f>SUMIF(dim_lignes_achat!B:B,A12,dim_lignes_achat!I:I)+F12</f>
        <v>383600</v>
      </c>
      <c r="H12" t="s">
        <v>415</v>
      </c>
      <c r="I12" s="21"/>
    </row>
    <row r="13" spans="1:9">
      <c r="A13" s="77">
        <f t="shared" si="0"/>
        <v>12</v>
      </c>
      <c r="B13" s="8">
        <v>46193</v>
      </c>
      <c r="C13" s="8">
        <v>46193</v>
      </c>
      <c r="D13" t="str">
        <f t="shared" si="1"/>
        <v>FAC-0011</v>
      </c>
      <c r="E13">
        <v>1</v>
      </c>
      <c r="F13" s="5">
        <v>3209</v>
      </c>
      <c r="G13" s="5">
        <f>SUMIF(dim_lignes_achat!B:B,A13,dim_lignes_achat!I:I)+F13</f>
        <v>44000</v>
      </c>
      <c r="H13" t="s">
        <v>415</v>
      </c>
      <c r="I13" s="21"/>
    </row>
    <row r="14" spans="1:9">
      <c r="A14" s="77">
        <f t="shared" si="0"/>
        <v>13</v>
      </c>
      <c r="B14" s="8">
        <v>46194</v>
      </c>
      <c r="C14" s="8">
        <v>46194</v>
      </c>
      <c r="D14" t="str">
        <f t="shared" si="1"/>
        <v>FAC-0012</v>
      </c>
      <c r="E14">
        <v>1</v>
      </c>
      <c r="F14" s="5">
        <v>0</v>
      </c>
      <c r="G14" s="5">
        <f>SUMIF(dim_lignes_achat!B:B,A14,dim_lignes_achat!I:I)+F14</f>
        <v>109500</v>
      </c>
      <c r="H14" t="s">
        <v>415</v>
      </c>
      <c r="I14" s="21"/>
    </row>
    <row r="15" spans="1:9">
      <c r="A15" s="77">
        <f t="shared" si="0"/>
        <v>14</v>
      </c>
      <c r="B15" s="8">
        <v>46194</v>
      </c>
      <c r="C15" s="8">
        <v>46194</v>
      </c>
      <c r="D15" t="str">
        <f t="shared" si="1"/>
        <v>FAC-0013</v>
      </c>
      <c r="E15">
        <v>1</v>
      </c>
      <c r="F15" s="5">
        <v>0</v>
      </c>
      <c r="G15" s="5">
        <f>SUMIF(dim_lignes_achat!B:B,A15,dim_lignes_achat!I:I)+F15</f>
        <v>302798.44000000006</v>
      </c>
      <c r="H15" t="s">
        <v>415</v>
      </c>
      <c r="I15" s="21"/>
    </row>
    <row r="16" spans="1:9">
      <c r="A16" s="77">
        <f t="shared" si="0"/>
        <v>15</v>
      </c>
      <c r="B16" s="8">
        <v>46194</v>
      </c>
      <c r="C16" s="8">
        <v>46194</v>
      </c>
      <c r="D16" t="str">
        <f t="shared" si="1"/>
        <v>FAC-0014</v>
      </c>
      <c r="E16">
        <v>1</v>
      </c>
      <c r="F16" s="5">
        <v>0</v>
      </c>
      <c r="G16" s="5">
        <f>SUMIF(dim_lignes_achat!B:B,A16,dim_lignes_achat!I:I)+F16</f>
        <v>245000</v>
      </c>
      <c r="H16" t="s">
        <v>415</v>
      </c>
      <c r="I16" s="21"/>
    </row>
    <row r="17" spans="1:9">
      <c r="A17" s="77">
        <f t="shared" si="0"/>
        <v>16</v>
      </c>
      <c r="B17" s="8">
        <v>46194</v>
      </c>
      <c r="C17" s="8">
        <v>46194</v>
      </c>
      <c r="D17" t="str">
        <f t="shared" si="1"/>
        <v>FAC-0015</v>
      </c>
      <c r="E17">
        <v>1</v>
      </c>
      <c r="F17" s="5">
        <v>0</v>
      </c>
      <c r="G17" s="5">
        <f>SUMIF(dim_lignes_achat!B:B,A17,dim_lignes_achat!I:I)+F17</f>
        <v>18500</v>
      </c>
      <c r="H17" t="s">
        <v>415</v>
      </c>
      <c r="I17" s="21"/>
    </row>
    <row r="18" spans="1:9">
      <c r="A18" s="77">
        <f t="shared" si="0"/>
        <v>17</v>
      </c>
      <c r="B18" s="8">
        <v>46199</v>
      </c>
      <c r="C18" s="8">
        <v>46199</v>
      </c>
      <c r="D18" t="str">
        <f t="shared" si="1"/>
        <v>FAC-0016</v>
      </c>
      <c r="E18">
        <v>1</v>
      </c>
      <c r="F18" s="5">
        <v>4200</v>
      </c>
      <c r="G18" s="5">
        <f>SUMIF(dim_lignes_achat!B:B,A18,dim_lignes_achat!I:I)+F18</f>
        <v>51000</v>
      </c>
      <c r="H18" t="s">
        <v>415</v>
      </c>
      <c r="I18" s="21"/>
    </row>
    <row r="19" spans="1:9">
      <c r="A19" s="77">
        <f t="shared" si="0"/>
        <v>18</v>
      </c>
      <c r="B19" s="8">
        <v>46201</v>
      </c>
      <c r="C19" s="8">
        <v>46201</v>
      </c>
      <c r="D19" t="str">
        <f t="shared" si="1"/>
        <v>FAC-0017</v>
      </c>
      <c r="E19">
        <v>1</v>
      </c>
      <c r="F19" s="5">
        <v>4200</v>
      </c>
      <c r="G19" s="5">
        <f>SUMIF(dim_lignes_achat!B:B,A19,dim_lignes_achat!I:I)+F19</f>
        <v>51000</v>
      </c>
      <c r="H19" t="s">
        <v>415</v>
      </c>
      <c r="I19" s="21"/>
    </row>
    <row r="20" spans="1:9">
      <c r="I20" s="21"/>
    </row>
    <row r="22" spans="1:9">
      <c r="G22" s="10"/>
    </row>
  </sheetData>
  <phoneticPr fontId="3" type="noConversion"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CF71E-33E4-458C-BBC0-389C31B0A400}">
  <dimension ref="A1:G10"/>
  <sheetViews>
    <sheetView workbookViewId="0">
      <selection activeCell="E15" sqref="E15"/>
    </sheetView>
  </sheetViews>
  <sheetFormatPr baseColWidth="10" defaultRowHeight="14.4"/>
  <cols>
    <col min="1" max="1" width="16.77734375" customWidth="1"/>
    <col min="2" max="4" width="17" style="8" customWidth="1"/>
    <col min="5" max="5" width="15.109375" style="10" bestFit="1" customWidth="1"/>
    <col min="6" max="6" width="24.5546875" customWidth="1"/>
  </cols>
  <sheetData>
    <row r="1" spans="1:7">
      <c r="A1" s="1" t="s">
        <v>365</v>
      </c>
      <c r="B1" s="7" t="s">
        <v>42</v>
      </c>
      <c r="C1" s="7" t="s">
        <v>112</v>
      </c>
      <c r="D1" s="7" t="s">
        <v>123</v>
      </c>
      <c r="E1" s="9" t="s">
        <v>44</v>
      </c>
      <c r="F1" s="1" t="s">
        <v>43</v>
      </c>
      <c r="G1" s="7" t="s">
        <v>70</v>
      </c>
    </row>
    <row r="2" spans="1:7">
      <c r="A2">
        <v>1</v>
      </c>
      <c r="B2" s="4">
        <v>46174</v>
      </c>
      <c r="C2" s="4">
        <v>46174</v>
      </c>
      <c r="D2" s="4" t="s">
        <v>56</v>
      </c>
      <c r="E2" s="5">
        <v>50000</v>
      </c>
      <c r="F2" s="6" t="s">
        <v>132</v>
      </c>
      <c r="G2" t="s">
        <v>126</v>
      </c>
    </row>
    <row r="3" spans="1:7">
      <c r="A3">
        <f>A2+1</f>
        <v>2</v>
      </c>
      <c r="B3" s="4">
        <v>46174</v>
      </c>
      <c r="C3" s="4">
        <v>46174</v>
      </c>
      <c r="D3" s="4" t="s">
        <v>135</v>
      </c>
      <c r="E3" s="5">
        <v>3000</v>
      </c>
      <c r="F3" s="6" t="s">
        <v>57</v>
      </c>
      <c r="G3" t="s">
        <v>130</v>
      </c>
    </row>
    <row r="4" spans="1:7">
      <c r="A4">
        <f t="shared" ref="A4:A10" si="0">A3+1</f>
        <v>3</v>
      </c>
      <c r="B4" s="4">
        <v>46176</v>
      </c>
      <c r="C4" s="4">
        <v>46176</v>
      </c>
      <c r="D4" s="4" t="s">
        <v>133</v>
      </c>
      <c r="E4" s="5">
        <v>1500</v>
      </c>
      <c r="F4" s="6" t="s">
        <v>58</v>
      </c>
      <c r="G4" t="s">
        <v>126</v>
      </c>
    </row>
    <row r="5" spans="1:7">
      <c r="A5">
        <f t="shared" si="0"/>
        <v>4</v>
      </c>
      <c r="B5" s="4">
        <v>46178</v>
      </c>
      <c r="C5" s="4">
        <v>46178</v>
      </c>
      <c r="D5" s="4" t="s">
        <v>133</v>
      </c>
      <c r="E5" s="5">
        <v>2500</v>
      </c>
      <c r="F5" s="6" t="s">
        <v>58</v>
      </c>
      <c r="G5" t="s">
        <v>126</v>
      </c>
    </row>
    <row r="6" spans="1:7">
      <c r="A6">
        <f t="shared" si="0"/>
        <v>5</v>
      </c>
      <c r="B6" s="8">
        <v>46184</v>
      </c>
      <c r="C6" s="8">
        <v>46184</v>
      </c>
      <c r="D6" s="8" t="s">
        <v>134</v>
      </c>
      <c r="E6" s="10">
        <v>10000</v>
      </c>
      <c r="F6" s="6" t="s">
        <v>61</v>
      </c>
      <c r="G6" t="s">
        <v>130</v>
      </c>
    </row>
    <row r="7" spans="1:7">
      <c r="A7">
        <f t="shared" si="0"/>
        <v>6</v>
      </c>
      <c r="B7" s="8">
        <v>46193</v>
      </c>
      <c r="C7" s="8">
        <v>46193</v>
      </c>
      <c r="D7" s="8" t="s">
        <v>131</v>
      </c>
      <c r="E7" s="10">
        <v>90000</v>
      </c>
      <c r="F7" s="6" t="s">
        <v>129</v>
      </c>
      <c r="G7" t="s">
        <v>128</v>
      </c>
    </row>
    <row r="8" spans="1:7">
      <c r="A8">
        <f t="shared" si="0"/>
        <v>7</v>
      </c>
      <c r="B8" s="8">
        <v>46193</v>
      </c>
      <c r="C8" s="8">
        <v>46193</v>
      </c>
      <c r="D8" s="8" t="s">
        <v>133</v>
      </c>
      <c r="E8" s="10">
        <v>5000</v>
      </c>
      <c r="F8" s="6" t="s">
        <v>109</v>
      </c>
      <c r="G8" t="s">
        <v>126</v>
      </c>
    </row>
    <row r="9" spans="1:7">
      <c r="A9">
        <f t="shared" si="0"/>
        <v>8</v>
      </c>
      <c r="B9" s="8">
        <v>46201</v>
      </c>
      <c r="C9" s="8">
        <v>46201</v>
      </c>
      <c r="D9" s="8" t="s">
        <v>422</v>
      </c>
      <c r="E9" s="10">
        <v>2000</v>
      </c>
      <c r="F9" s="8" t="s">
        <v>421</v>
      </c>
      <c r="G9" t="s">
        <v>126</v>
      </c>
    </row>
    <row r="10" spans="1:7">
      <c r="A10">
        <f t="shared" si="0"/>
        <v>9</v>
      </c>
      <c r="B10" s="8">
        <v>46203</v>
      </c>
      <c r="C10" s="8">
        <v>46203</v>
      </c>
      <c r="D10" s="8" t="s">
        <v>423</v>
      </c>
      <c r="E10" s="10">
        <v>8000</v>
      </c>
      <c r="F10" s="8" t="s">
        <v>424</v>
      </c>
      <c r="G10" t="s">
        <v>126</v>
      </c>
    </row>
  </sheetData>
  <phoneticPr fontId="3" type="noConversion"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57E9-48B3-45D6-8BBB-5F563E1F4E4F}">
  <dimension ref="A1:J9"/>
  <sheetViews>
    <sheetView workbookViewId="0">
      <selection activeCell="E15" sqref="E15"/>
    </sheetView>
  </sheetViews>
  <sheetFormatPr baseColWidth="10" defaultRowHeight="14.4"/>
  <cols>
    <col min="4" max="4" width="12.33203125" bestFit="1" customWidth="1"/>
    <col min="7" max="7" width="12.77734375" bestFit="1" customWidth="1"/>
    <col min="8" max="8" width="13.44140625" bestFit="1" customWidth="1"/>
    <col min="10" max="10" width="18" bestFit="1" customWidth="1"/>
  </cols>
  <sheetData>
    <row r="1" spans="1:10">
      <c r="A1" t="s">
        <v>363</v>
      </c>
      <c r="B1" t="s">
        <v>66</v>
      </c>
      <c r="C1" t="s">
        <v>112</v>
      </c>
      <c r="D1" t="s">
        <v>139</v>
      </c>
      <c r="E1" t="s">
        <v>75</v>
      </c>
      <c r="F1" t="s">
        <v>67</v>
      </c>
      <c r="G1" t="s">
        <v>68</v>
      </c>
      <c r="H1" t="s">
        <v>69</v>
      </c>
      <c r="I1" t="s">
        <v>70</v>
      </c>
      <c r="J1" s="14" t="s">
        <v>4</v>
      </c>
    </row>
    <row r="2" spans="1:10">
      <c r="A2">
        <v>1</v>
      </c>
      <c r="B2" s="8">
        <v>46197</v>
      </c>
      <c r="C2" s="8">
        <v>46197</v>
      </c>
      <c r="D2">
        <f>IFERROR(_xlfn.XLOOKUP(J2,dim_produits!$C:$C,dim_produits!$A:$A,""),"")</f>
        <v>52</v>
      </c>
      <c r="E2">
        <v>2</v>
      </c>
      <c r="F2" t="s">
        <v>273</v>
      </c>
      <c r="G2" s="9">
        <f>_xlfn.XLOOKUP(J2,dim_lignes_achat!$L:$L,dim_lignes_achat!$H:$H,"Nicht gefunden",0)</f>
        <v>470.83333333333331</v>
      </c>
      <c r="H2" s="9">
        <f>E2*G2</f>
        <v>941.66666666666663</v>
      </c>
      <c r="I2" t="s">
        <v>274</v>
      </c>
      <c r="J2" t="s">
        <v>237</v>
      </c>
    </row>
    <row r="3" spans="1:10">
      <c r="A3">
        <f>A2+1</f>
        <v>2</v>
      </c>
      <c r="B3" s="8">
        <v>46197</v>
      </c>
      <c r="C3" s="8">
        <v>46197</v>
      </c>
      <c r="D3">
        <f>IFERROR(_xlfn.XLOOKUP(J3,dim_produits!$C:$C,dim_produits!$A:$A,""),"")</f>
        <v>42</v>
      </c>
      <c r="E3">
        <v>6</v>
      </c>
      <c r="F3" t="s">
        <v>273</v>
      </c>
      <c r="G3" s="9">
        <f>_xlfn.XLOOKUP(J3,dim_lignes_achat!$L:$L,dim_lignes_achat!$H:$H,"Nicht gefunden",0)</f>
        <v>450</v>
      </c>
      <c r="H3" s="9">
        <f>E3*G3</f>
        <v>2700</v>
      </c>
      <c r="I3" t="s">
        <v>274</v>
      </c>
      <c r="J3" t="s">
        <v>247</v>
      </c>
    </row>
    <row r="4" spans="1:10">
      <c r="A4">
        <f t="shared" ref="A4:A9" si="0">A3+1</f>
        <v>3</v>
      </c>
      <c r="B4" s="8">
        <v>46197</v>
      </c>
      <c r="C4" s="8">
        <v>46197</v>
      </c>
      <c r="D4">
        <f>IFERROR(_xlfn.XLOOKUP(J4,dim_produits!$C:$C,dim_produits!$A:$A,""),"")</f>
        <v>47</v>
      </c>
      <c r="E4">
        <v>13</v>
      </c>
      <c r="F4" t="s">
        <v>273</v>
      </c>
      <c r="G4" s="9">
        <f>_xlfn.XLOOKUP(J4,dim_lignes_achat!$L:$L,dim_lignes_achat!$H:$H,"Nicht gefunden",0)</f>
        <v>90</v>
      </c>
      <c r="H4" s="9">
        <f t="shared" ref="H4:H6" si="1">E4*G4</f>
        <v>1170</v>
      </c>
      <c r="I4" t="s">
        <v>274</v>
      </c>
      <c r="J4" t="s">
        <v>249</v>
      </c>
    </row>
    <row r="5" spans="1:10">
      <c r="A5">
        <f t="shared" si="0"/>
        <v>4</v>
      </c>
      <c r="B5" s="8">
        <v>46197</v>
      </c>
      <c r="C5" s="8">
        <v>46197</v>
      </c>
      <c r="D5">
        <f>IFERROR(_xlfn.XLOOKUP(J5,dim_produits!$C:$C,dim_produits!$A:$A,""),"")</f>
        <v>49</v>
      </c>
      <c r="E5">
        <v>3</v>
      </c>
      <c r="F5" t="s">
        <v>273</v>
      </c>
      <c r="G5" s="9">
        <f>_xlfn.XLOOKUP(J5,dim_lignes_achat!$L:$L,dim_lignes_achat!$H:$H,"Nicht gefunden",0)</f>
        <v>180</v>
      </c>
      <c r="H5" s="9">
        <f t="shared" si="1"/>
        <v>540</v>
      </c>
      <c r="I5" t="s">
        <v>274</v>
      </c>
      <c r="J5" t="s">
        <v>251</v>
      </c>
    </row>
    <row r="6" spans="1:10">
      <c r="A6">
        <f t="shared" si="0"/>
        <v>5</v>
      </c>
      <c r="B6" s="8">
        <v>46197</v>
      </c>
      <c r="C6" s="8">
        <v>46197</v>
      </c>
      <c r="D6">
        <f>IFERROR(_xlfn.XLOOKUP(J6,dim_produits!$C:$C,dim_produits!$A:$A,""),"")</f>
        <v>96</v>
      </c>
      <c r="E6">
        <v>12</v>
      </c>
      <c r="F6" t="s">
        <v>273</v>
      </c>
      <c r="G6" s="9">
        <f>_xlfn.XLOOKUP(J6,dim_lignes_achat!$L:$L,dim_lignes_achat!$H:$H,"Nicht gefunden",0)</f>
        <v>45</v>
      </c>
      <c r="H6" s="9">
        <f t="shared" si="1"/>
        <v>540</v>
      </c>
      <c r="I6" t="s">
        <v>274</v>
      </c>
      <c r="J6" t="s">
        <v>252</v>
      </c>
    </row>
    <row r="7" spans="1:10">
      <c r="A7">
        <f t="shared" si="0"/>
        <v>6</v>
      </c>
      <c r="B7" s="8">
        <v>46197</v>
      </c>
      <c r="C7" s="8">
        <v>46197</v>
      </c>
      <c r="D7">
        <f>IFERROR(_xlfn.XLOOKUP(J7,dim_produits!$C:$C,dim_produits!$A:$A,""),"")</f>
        <v>95</v>
      </c>
      <c r="E7">
        <v>5</v>
      </c>
      <c r="F7" t="s">
        <v>405</v>
      </c>
      <c r="G7" s="9">
        <f>_xlfn.XLOOKUP(J7,dim_lignes_achat!$L:$L,dim_lignes_achat!$H:$H,"Nicht gefunden",0)</f>
        <v>172.5</v>
      </c>
      <c r="H7" s="9">
        <f t="shared" ref="H7" si="2">E7*G7</f>
        <v>862.5</v>
      </c>
      <c r="I7" t="s">
        <v>274</v>
      </c>
      <c r="J7" t="s">
        <v>404</v>
      </c>
    </row>
    <row r="8" spans="1:10">
      <c r="A8">
        <f t="shared" si="0"/>
        <v>7</v>
      </c>
      <c r="B8" s="8">
        <v>46197</v>
      </c>
      <c r="C8" s="8">
        <v>46197</v>
      </c>
      <c r="D8">
        <f>IFERROR(_xlfn.XLOOKUP(J8,dim_produits!$C:$C,dim_produits!$A:$A,""),"")</f>
        <v>17</v>
      </c>
      <c r="E8">
        <v>1</v>
      </c>
      <c r="F8" t="s">
        <v>406</v>
      </c>
      <c r="G8" s="9">
        <f>_xlfn.XLOOKUP(J8,dim_lignes_achat!$L:$L,dim_lignes_achat!$H:$H,"Nicht gefunden",0)</f>
        <v>450</v>
      </c>
      <c r="H8" s="9">
        <f t="shared" ref="H8:H9" si="3">E8*G8</f>
        <v>450</v>
      </c>
      <c r="I8" t="s">
        <v>274</v>
      </c>
      <c r="J8" t="s">
        <v>225</v>
      </c>
    </row>
    <row r="9" spans="1:10">
      <c r="A9">
        <f t="shared" si="0"/>
        <v>8</v>
      </c>
      <c r="B9" s="8">
        <v>46197</v>
      </c>
      <c r="C9" s="8">
        <v>46197</v>
      </c>
      <c r="D9">
        <f>IFERROR(_xlfn.XLOOKUP(J9,dim_produits!$C:$C,dim_produits!$A:$A,""),"")</f>
        <v>5</v>
      </c>
      <c r="E9">
        <v>1</v>
      </c>
      <c r="F9" t="s">
        <v>406</v>
      </c>
      <c r="G9" s="9">
        <f>_xlfn.XLOOKUP(J9,dim_lignes_achat!$L:$L,dim_lignes_achat!$H:$H,"Nicht gefunden",0)</f>
        <v>199.99799999999999</v>
      </c>
      <c r="H9" s="9">
        <f t="shared" si="3"/>
        <v>199.99799999999999</v>
      </c>
      <c r="I9" t="s">
        <v>274</v>
      </c>
      <c r="J9" t="s">
        <v>197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198D-CA74-46DD-8629-F626096800B0}">
  <dimension ref="A1:B4"/>
  <sheetViews>
    <sheetView workbookViewId="0">
      <selection activeCell="A9" sqref="A9"/>
    </sheetView>
  </sheetViews>
  <sheetFormatPr baseColWidth="10" defaultRowHeight="14.4"/>
  <cols>
    <col min="1" max="1" width="15.21875" customWidth="1"/>
    <col min="2" max="2" width="13.44140625" customWidth="1"/>
  </cols>
  <sheetData>
    <row r="1" spans="1:2">
      <c r="A1" s="1" t="s">
        <v>356</v>
      </c>
      <c r="B1" s="1" t="s">
        <v>11</v>
      </c>
    </row>
    <row r="2" spans="1:2">
      <c r="A2">
        <v>1</v>
      </c>
      <c r="B2" t="s">
        <v>59</v>
      </c>
    </row>
    <row r="3" spans="1:2">
      <c r="A3">
        <v>2</v>
      </c>
      <c r="B3" t="s">
        <v>411</v>
      </c>
    </row>
    <row r="4" spans="1:2">
      <c r="A4">
        <v>3</v>
      </c>
      <c r="B4" t="s">
        <v>412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69F4-744F-48F1-AC35-7815275A4CF6}">
  <dimension ref="A1:B2"/>
  <sheetViews>
    <sheetView workbookViewId="0">
      <selection activeCell="A5" sqref="A5"/>
    </sheetView>
  </sheetViews>
  <sheetFormatPr baseColWidth="10" defaultRowHeight="14.4"/>
  <cols>
    <col min="1" max="1" width="16.6640625" customWidth="1"/>
    <col min="2" max="2" width="13.5546875" customWidth="1"/>
  </cols>
  <sheetData>
    <row r="1" spans="1:2">
      <c r="A1" s="1" t="s">
        <v>354</v>
      </c>
      <c r="B1" s="1" t="s">
        <v>47</v>
      </c>
    </row>
    <row r="2" spans="1:2">
      <c r="A2">
        <v>10</v>
      </c>
      <c r="B2" t="s">
        <v>55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7A58-9C95-45BD-9A8A-8F8A1EDEC19E}">
  <dimension ref="A1:G5"/>
  <sheetViews>
    <sheetView workbookViewId="0">
      <selection activeCell="F5" sqref="F5"/>
    </sheetView>
  </sheetViews>
  <sheetFormatPr baseColWidth="10" defaultRowHeight="14.4"/>
  <cols>
    <col min="1" max="1" width="15.6640625" customWidth="1"/>
    <col min="2" max="2" width="17.6640625" customWidth="1"/>
    <col min="4" max="4" width="16.109375" customWidth="1"/>
    <col min="5" max="5" width="16.21875" style="20" bestFit="1" customWidth="1"/>
    <col min="6" max="6" width="13.77734375" customWidth="1"/>
    <col min="10" max="10" width="16.21875" bestFit="1" customWidth="1"/>
  </cols>
  <sheetData>
    <row r="1" spans="1:7">
      <c r="A1" t="s">
        <v>110</v>
      </c>
      <c r="B1" t="s">
        <v>111</v>
      </c>
      <c r="C1" t="s">
        <v>112</v>
      </c>
      <c r="D1" t="s">
        <v>113</v>
      </c>
      <c r="E1" s="20" t="s">
        <v>44</v>
      </c>
      <c r="F1" t="s">
        <v>114</v>
      </c>
      <c r="G1" t="s">
        <v>70</v>
      </c>
    </row>
    <row r="2" spans="1:7">
      <c r="A2">
        <v>1</v>
      </c>
      <c r="B2" s="8">
        <v>46174</v>
      </c>
      <c r="C2" s="8">
        <v>46174</v>
      </c>
      <c r="D2" t="s">
        <v>124</v>
      </c>
      <c r="E2" s="5">
        <v>339900</v>
      </c>
      <c r="F2" t="s">
        <v>125</v>
      </c>
      <c r="G2" t="s">
        <v>126</v>
      </c>
    </row>
    <row r="3" spans="1:7">
      <c r="A3">
        <f>A2+1</f>
        <v>2</v>
      </c>
      <c r="B3" s="8">
        <v>46192</v>
      </c>
      <c r="C3" s="8">
        <v>46192</v>
      </c>
      <c r="D3" t="s">
        <v>124</v>
      </c>
      <c r="E3" s="5">
        <v>510000</v>
      </c>
      <c r="F3" t="s">
        <v>127</v>
      </c>
      <c r="G3" t="s">
        <v>128</v>
      </c>
    </row>
    <row r="4" spans="1:7">
      <c r="A4">
        <f>A3+1</f>
        <v>3</v>
      </c>
      <c r="B4" s="8">
        <v>46195</v>
      </c>
      <c r="C4" s="8">
        <v>46195</v>
      </c>
      <c r="D4" t="s">
        <v>124</v>
      </c>
      <c r="E4" s="5">
        <v>700000</v>
      </c>
      <c r="F4" t="s">
        <v>127</v>
      </c>
      <c r="G4" t="s">
        <v>128</v>
      </c>
    </row>
    <row r="5" spans="1:7">
      <c r="A5">
        <v>4</v>
      </c>
      <c r="B5" s="8">
        <v>46204</v>
      </c>
      <c r="C5" s="8">
        <v>46204</v>
      </c>
      <c r="D5" t="s">
        <v>124</v>
      </c>
      <c r="E5" s="5">
        <v>100000</v>
      </c>
      <c r="F5" t="s">
        <v>127</v>
      </c>
      <c r="G5" t="s">
        <v>128</v>
      </c>
    </row>
  </sheetData>
  <phoneticPr fontId="3" type="noConversion"/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417E-F1E1-43B0-8745-267F0268A2F0}">
  <dimension ref="A1:Q105"/>
  <sheetViews>
    <sheetView zoomScale="81" zoomScaleNormal="8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9" sqref="F9"/>
    </sheetView>
  </sheetViews>
  <sheetFormatPr baseColWidth="10" defaultRowHeight="14.4"/>
  <cols>
    <col min="2" max="2" width="13.21875" bestFit="1" customWidth="1"/>
    <col min="5" max="5" width="42.44140625" bestFit="1" customWidth="1"/>
    <col min="6" max="6" width="16" customWidth="1"/>
    <col min="7" max="8" width="18" customWidth="1"/>
    <col min="9" max="9" width="13.77734375" bestFit="1" customWidth="1"/>
    <col min="10" max="10" width="13.21875" bestFit="1" customWidth="1"/>
    <col min="12" max="12" width="15.33203125" bestFit="1" customWidth="1"/>
    <col min="13" max="13" width="14.88671875" customWidth="1"/>
    <col min="14" max="14" width="11.77734375" bestFit="1" customWidth="1"/>
    <col min="16" max="16" width="16" bestFit="1" customWidth="1"/>
    <col min="17" max="17" width="20.6640625" bestFit="1" customWidth="1"/>
  </cols>
  <sheetData>
    <row r="1" spans="1:17">
      <c r="A1" t="s">
        <v>137</v>
      </c>
      <c r="B1" t="s">
        <v>138</v>
      </c>
      <c r="C1" t="s">
        <v>112</v>
      </c>
      <c r="D1" t="s">
        <v>139</v>
      </c>
      <c r="E1" s="14" t="s">
        <v>4</v>
      </c>
      <c r="F1" s="14" t="s">
        <v>409</v>
      </c>
      <c r="G1" s="14" t="s">
        <v>410</v>
      </c>
      <c r="H1" s="14" t="s">
        <v>75</v>
      </c>
      <c r="I1" s="106" t="s">
        <v>140</v>
      </c>
      <c r="J1" t="s">
        <v>141</v>
      </c>
      <c r="K1" s="106" t="s">
        <v>142</v>
      </c>
      <c r="L1" s="106" t="s">
        <v>144</v>
      </c>
      <c r="M1" s="14" t="s">
        <v>145</v>
      </c>
      <c r="N1" t="s">
        <v>143</v>
      </c>
      <c r="O1" t="s">
        <v>70</v>
      </c>
      <c r="P1" s="14" t="s">
        <v>418</v>
      </c>
      <c r="Q1" s="14" t="s">
        <v>416</v>
      </c>
    </row>
    <row r="2" spans="1:17">
      <c r="A2">
        <v>1</v>
      </c>
      <c r="B2" s="8">
        <v>46204</v>
      </c>
      <c r="C2" s="8">
        <v>46204</v>
      </c>
      <c r="D2">
        <f>IFERROR(_xlfn.XLOOKUP(E2,dim_produits!$C:$C,dim_produits!$A:$A,""),"")</f>
        <v>1</v>
      </c>
      <c r="E2" t="s">
        <v>179</v>
      </c>
      <c r="F2">
        <f>IF(E2="","",SUMIF(dim_lignes_achat!$L:$L,E2,dim_lignes_achat!$F:$F))</f>
        <v>100</v>
      </c>
      <c r="G2">
        <f>IF(E2="","",SUMIF(dim_lignes_vente!$I:$I,E2,dim_lignes_vente!$D:$D))</f>
        <v>0</v>
      </c>
      <c r="H2">
        <f>IF(E2="","",SUMIF(dim_pertes!$J:$J,E2,dim_pertes!$E:$E))</f>
        <v>0</v>
      </c>
      <c r="I2">
        <f>IF(E2="","",N(F2)-N(G2)-N(H2))</f>
        <v>100</v>
      </c>
      <c r="J2">
        <v>100</v>
      </c>
      <c r="K2">
        <f>IF(E2="","",N(J2)-N(I2))</f>
        <v>0</v>
      </c>
      <c r="L2" s="10">
        <f>IF(E2="","",K2*M2)</f>
        <v>0</v>
      </c>
      <c r="M2" s="10">
        <f>IFERROR(_xlfn.XLOOKUP(E2,dim_lignes_achat!$L:$L,dim_lignes_achat!$H:$H,"",0,-1),"")</f>
        <v>8.5</v>
      </c>
      <c r="N2" t="s">
        <v>408</v>
      </c>
      <c r="O2" t="s">
        <v>420</v>
      </c>
      <c r="P2" t="str">
        <f>IF(ISNUMBER(MATCH(E2,dim_produits!$C:$C,0)),"OK","MANQUANT")</f>
        <v>OK</v>
      </c>
      <c r="Q2" t="str">
        <f>IF(ISNUMBER(MATCH(E2,dim_lignes_achat!$L:$L,0)),"OK","MANQUANT")</f>
        <v>OK</v>
      </c>
    </row>
    <row r="3" spans="1:17">
      <c r="A3">
        <f>A2+1</f>
        <v>2</v>
      </c>
      <c r="B3" s="8">
        <v>46204</v>
      </c>
      <c r="C3" s="8">
        <v>46204</v>
      </c>
      <c r="D3">
        <f>IFERROR(_xlfn.XLOOKUP(E3,dim_produits!$C:$C,dim_produits!$A:$A,""),"")</f>
        <v>2</v>
      </c>
      <c r="E3" t="s">
        <v>165</v>
      </c>
      <c r="F3">
        <f>IF(E3="","",SUMIF(dim_lignes_achat!$L:$L,E3,dim_lignes_achat!$F:$F))</f>
        <v>240</v>
      </c>
      <c r="G3">
        <f>IF(E3="","",SUMIF(dim_lignes_vente!$I:$I,E3,dim_lignes_vente!$D:$D))</f>
        <v>11</v>
      </c>
      <c r="H3">
        <f>IF(E3="","",SUMIF(dim_pertes!$J:$J,E3,dim_pertes!$E:$E))</f>
        <v>0</v>
      </c>
      <c r="I3">
        <f t="shared" ref="I3:I64" si="0">IF(E3="","",N(F3)-N(G3)-N(H3))</f>
        <v>229</v>
      </c>
      <c r="J3">
        <v>240</v>
      </c>
      <c r="K3">
        <f t="shared" ref="K3:K64" si="1">IF(E3="","",N(J3)-N(I3))</f>
        <v>11</v>
      </c>
      <c r="L3" s="10">
        <f t="shared" ref="L3:L64" si="2">IF(E3="","",K3*M3)</f>
        <v>206.25</v>
      </c>
      <c r="M3" s="10">
        <f>IFERROR(_xlfn.XLOOKUP(E3,dim_lignes_achat!$L:$L,dim_lignes_achat!$H:$H,"",0,-1),"")</f>
        <v>18.75</v>
      </c>
      <c r="N3" t="s">
        <v>408</v>
      </c>
      <c r="O3" t="s">
        <v>420</v>
      </c>
      <c r="P3" t="str">
        <f>IF(ISNUMBER(MATCH(E3,dim_produits!$C:$C,0)),"OK","MANQUANT")</f>
        <v>OK</v>
      </c>
      <c r="Q3" t="str">
        <f>IF(ISNUMBER(MATCH(E3,dim_lignes_achat!$L:$L,0)),"OK","MANQUANT")</f>
        <v>OK</v>
      </c>
    </row>
    <row r="4" spans="1:17">
      <c r="A4">
        <f t="shared" ref="A4:A62" si="3">A3+1</f>
        <v>3</v>
      </c>
      <c r="B4" s="8">
        <v>46204</v>
      </c>
      <c r="C4" s="8">
        <v>46204</v>
      </c>
      <c r="D4">
        <f>IFERROR(_xlfn.XLOOKUP(E4,dim_produits!$C:$C,dim_produits!$A:$A,""),"")</f>
        <v>3</v>
      </c>
      <c r="E4" t="s">
        <v>166</v>
      </c>
      <c r="F4">
        <f>IF(E4="","",SUMIF(dim_lignes_achat!$L:$L,E4,dim_lignes_achat!$F:$F))</f>
        <v>120</v>
      </c>
      <c r="G4">
        <f>IF(E4="","",SUMIF(dim_lignes_vente!$I:$I,E4,dim_lignes_vente!$D:$D))</f>
        <v>0</v>
      </c>
      <c r="H4">
        <f>IF(E4="","",SUMIF(dim_pertes!$J:$J,E4,dim_pertes!$E:$E))</f>
        <v>0</v>
      </c>
      <c r="I4">
        <f t="shared" si="0"/>
        <v>120</v>
      </c>
      <c r="J4">
        <v>108</v>
      </c>
      <c r="K4">
        <f t="shared" si="1"/>
        <v>-12</v>
      </c>
      <c r="L4" s="10">
        <f t="shared" si="2"/>
        <v>-480</v>
      </c>
      <c r="M4" s="10">
        <f>IFERROR(_xlfn.XLOOKUP(E4,dim_lignes_achat!$L:$L,dim_lignes_achat!$H:$H,"",0,-1),"")</f>
        <v>40</v>
      </c>
      <c r="N4" t="s">
        <v>408</v>
      </c>
      <c r="O4" t="s">
        <v>420</v>
      </c>
      <c r="P4" t="str">
        <f>IF(ISNUMBER(MATCH(E4,dim_produits!$C:$C,0)),"OK","MANQUANT")</f>
        <v>OK</v>
      </c>
      <c r="Q4" t="str">
        <f>IF(ISNUMBER(MATCH(E4,dim_lignes_achat!$L:$L,0)),"OK","MANQUANT")</f>
        <v>OK</v>
      </c>
    </row>
    <row r="5" spans="1:17">
      <c r="A5">
        <f t="shared" si="3"/>
        <v>4</v>
      </c>
      <c r="B5" s="8">
        <v>46204</v>
      </c>
      <c r="C5" s="8">
        <v>46204</v>
      </c>
      <c r="D5">
        <f>IFERROR(_xlfn.XLOOKUP(E5,dim_produits!$C:$C,dim_produits!$A:$A,""),"")</f>
        <v>4</v>
      </c>
      <c r="E5" t="s">
        <v>168</v>
      </c>
      <c r="F5">
        <f>IF(E5="","",SUMIF(dim_lignes_achat!$L:$L,E5,dim_lignes_achat!$F:$F))</f>
        <v>120</v>
      </c>
      <c r="G5">
        <f>IF(E5="","",SUMIF(dim_lignes_vente!$I:$I,E5,dim_lignes_vente!$D:$D))</f>
        <v>29</v>
      </c>
      <c r="H5">
        <f>IF(E5="","",SUMIF(dim_pertes!$J:$J,E5,dim_pertes!$E:$E))</f>
        <v>0</v>
      </c>
      <c r="I5">
        <f t="shared" si="0"/>
        <v>91</v>
      </c>
      <c r="J5">
        <v>93</v>
      </c>
      <c r="K5">
        <f t="shared" si="1"/>
        <v>2</v>
      </c>
      <c r="L5" s="10">
        <f t="shared" si="2"/>
        <v>78.333333333333329</v>
      </c>
      <c r="M5" s="10">
        <f>IFERROR(_xlfn.XLOOKUP(E5,dim_lignes_achat!$L:$L,dim_lignes_achat!$H:$H,"",0,-1),"")</f>
        <v>39.166666666666664</v>
      </c>
      <c r="N5" t="s">
        <v>408</v>
      </c>
      <c r="O5" t="s">
        <v>420</v>
      </c>
      <c r="P5" t="str">
        <f>IF(ISNUMBER(MATCH(E5,dim_produits!$C:$C,0)),"OK","MANQUANT")</f>
        <v>OK</v>
      </c>
      <c r="Q5" t="str">
        <f>IF(ISNUMBER(MATCH(E5,dim_lignes_achat!$L:$L,0)),"OK","MANQUANT")</f>
        <v>OK</v>
      </c>
    </row>
    <row r="6" spans="1:17">
      <c r="A6">
        <f t="shared" si="3"/>
        <v>5</v>
      </c>
      <c r="B6" s="8">
        <v>46204</v>
      </c>
      <c r="C6" s="8">
        <v>46204</v>
      </c>
      <c r="D6">
        <f>IFERROR(_xlfn.XLOOKUP(E6,dim_produits!$C:$C,dim_produits!$A:$A,""),"")</f>
        <v>6</v>
      </c>
      <c r="E6" t="s">
        <v>368</v>
      </c>
      <c r="F6">
        <f>IF(E6="","",SUMIF(dim_lignes_achat!$L:$L,E6,dim_lignes_achat!$F:$F))</f>
        <v>120</v>
      </c>
      <c r="G6">
        <f>IF(E6="","",SUMIF(dim_lignes_vente!$I:$I,E6,dim_lignes_vente!$D:$D))</f>
        <v>10</v>
      </c>
      <c r="H6">
        <f>IF(E6="","",SUMIF(dim_pertes!$J:$J,E6,dim_pertes!$E:$E))</f>
        <v>0</v>
      </c>
      <c r="I6">
        <f t="shared" si="0"/>
        <v>110</v>
      </c>
      <c r="J6">
        <v>110</v>
      </c>
      <c r="K6">
        <f t="shared" si="1"/>
        <v>0</v>
      </c>
      <c r="L6" s="21">
        <f t="shared" si="2"/>
        <v>0</v>
      </c>
      <c r="M6" s="10">
        <f>IFERROR(_xlfn.XLOOKUP(E6,dim_lignes_achat!$L:$L,dim_lignes_achat!$H:$H,"",0,-1),"")</f>
        <v>379.99200000000002</v>
      </c>
      <c r="N6" t="s">
        <v>408</v>
      </c>
      <c r="O6" t="s">
        <v>420</v>
      </c>
      <c r="P6" t="str">
        <f>IF(ISNUMBER(MATCH(E6,dim_produits!$C:$C,0)),"OK","MANQUANT")</f>
        <v>OK</v>
      </c>
      <c r="Q6" t="str">
        <f>IF(ISNUMBER(MATCH(E6,dim_lignes_achat!$L:$L,0)),"OK","MANQUANT")</f>
        <v>OK</v>
      </c>
    </row>
    <row r="7" spans="1:17">
      <c r="A7">
        <f t="shared" si="3"/>
        <v>6</v>
      </c>
      <c r="B7" s="8">
        <v>46204</v>
      </c>
      <c r="C7" s="8">
        <v>46204</v>
      </c>
      <c r="D7">
        <f>IFERROR(_xlfn.XLOOKUP(E7,dim_produits!$C:$C,dim_produits!$A:$A,""),"")</f>
        <v>5</v>
      </c>
      <c r="E7" t="s">
        <v>197</v>
      </c>
      <c r="F7">
        <f>IF(E7="","",SUMIF(dim_lignes_achat!$L:$L,E7,dim_lignes_achat!$F:$F))</f>
        <v>71</v>
      </c>
      <c r="G7">
        <f>IF(E7="","",SUMIF(dim_lignes_vente!$I:$I,E7,dim_lignes_vente!$D:$D))</f>
        <v>8</v>
      </c>
      <c r="H7">
        <f>IF(E7="","",SUMIF(dim_pertes!$J:$J,E7,dim_pertes!$E:$E))</f>
        <v>1</v>
      </c>
      <c r="I7">
        <f t="shared" si="0"/>
        <v>62</v>
      </c>
      <c r="J7">
        <v>56</v>
      </c>
      <c r="K7">
        <f t="shared" si="1"/>
        <v>-6</v>
      </c>
      <c r="L7" s="10">
        <f t="shared" si="2"/>
        <v>-1199.9879999999998</v>
      </c>
      <c r="M7" s="10">
        <f>IFERROR(_xlfn.XLOOKUP(E7,dim_lignes_achat!$L:$L,dim_lignes_achat!$H:$H,"",0,-1),"")</f>
        <v>199.99799999999999</v>
      </c>
      <c r="N7" t="s">
        <v>408</v>
      </c>
      <c r="O7" t="s">
        <v>420</v>
      </c>
      <c r="P7" t="str">
        <f>IF(ISNUMBER(MATCH(E7,dim_produits!$C:$C,0)),"OK","MANQUANT")</f>
        <v>OK</v>
      </c>
      <c r="Q7" t="str">
        <f>IF(ISNUMBER(MATCH(E7,dim_lignes_achat!$L:$L,0)),"OK","MANQUANT")</f>
        <v>OK</v>
      </c>
    </row>
    <row r="8" spans="1:17">
      <c r="A8">
        <f t="shared" si="3"/>
        <v>7</v>
      </c>
      <c r="B8" s="8">
        <v>46204</v>
      </c>
      <c r="C8" s="8">
        <v>46204</v>
      </c>
      <c r="D8">
        <f>IFERROR(_xlfn.XLOOKUP(E8,dim_produits!$C:$C,dim_produits!$A:$A,""),"")</f>
        <v>7</v>
      </c>
      <c r="E8" t="s">
        <v>220</v>
      </c>
      <c r="F8">
        <f>IF(E8="","",SUMIF(dim_lignes_achat!$L:$L,E8,dim_lignes_achat!$F:$F))</f>
        <v>144</v>
      </c>
      <c r="G8">
        <f>IF(E8="","",SUMIF(dim_lignes_vente!$I:$I,E8,dim_lignes_vente!$D:$D))</f>
        <v>100</v>
      </c>
      <c r="H8">
        <f>IF(E8="","",SUMIF(dim_pertes!$J:$J,E8,dim_pertes!$E:$E))</f>
        <v>0</v>
      </c>
      <c r="I8">
        <f t="shared" si="0"/>
        <v>44</v>
      </c>
      <c r="J8">
        <v>48</v>
      </c>
      <c r="K8">
        <f t="shared" si="1"/>
        <v>4</v>
      </c>
      <c r="L8" s="10">
        <f t="shared" si="2"/>
        <v>2400</v>
      </c>
      <c r="M8" s="10">
        <f>IFERROR(_xlfn.XLOOKUP(E8,dim_lignes_achat!$L:$L,dim_lignes_achat!$H:$H,"",0,-1),"")</f>
        <v>600</v>
      </c>
      <c r="N8" t="s">
        <v>408</v>
      </c>
      <c r="O8" t="s">
        <v>420</v>
      </c>
      <c r="P8" t="str">
        <f>IF(ISNUMBER(MATCH(E8,dim_produits!$C:$C,0)),"OK","MANQUANT")</f>
        <v>OK</v>
      </c>
      <c r="Q8" t="str">
        <f>IF(ISNUMBER(MATCH(E8,dim_lignes_achat!$L:$L,0)),"OK","MANQUANT")</f>
        <v>OK</v>
      </c>
    </row>
    <row r="9" spans="1:17">
      <c r="A9">
        <f t="shared" si="3"/>
        <v>8</v>
      </c>
      <c r="B9" s="8">
        <v>46204</v>
      </c>
      <c r="C9" s="8">
        <v>46204</v>
      </c>
      <c r="D9">
        <f>IFERROR(_xlfn.XLOOKUP(E9,dim_produits!$C:$C,dim_produits!$A:$A,""),"")</f>
        <v>9</v>
      </c>
      <c r="E9" t="s">
        <v>222</v>
      </c>
      <c r="F9">
        <f>IF(E9="","",SUMIF(dim_lignes_achat!$L:$L,E9,dim_lignes_achat!$F:$F))</f>
        <v>325</v>
      </c>
      <c r="G9">
        <f>IF(E9="","",SUMIF(dim_lignes_vente!$I:$I,E9,dim_lignes_vente!$D:$D))</f>
        <v>356</v>
      </c>
      <c r="H9">
        <f>IF(E9="","",SUMIF(dim_pertes!$J:$J,E9,dim_pertes!$E:$E))</f>
        <v>0</v>
      </c>
      <c r="I9">
        <f t="shared" si="0"/>
        <v>-31</v>
      </c>
      <c r="J9">
        <v>16</v>
      </c>
      <c r="K9">
        <f t="shared" si="1"/>
        <v>47</v>
      </c>
      <c r="L9" s="10">
        <f t="shared" si="2"/>
        <v>28200</v>
      </c>
      <c r="M9" s="10">
        <f>IFERROR(_xlfn.XLOOKUP(E9,dim_lignes_achat!$L:$L,dim_lignes_achat!$H:$H,"",0,-1),"")</f>
        <v>600</v>
      </c>
      <c r="N9" t="s">
        <v>408</v>
      </c>
      <c r="O9" t="s">
        <v>420</v>
      </c>
      <c r="P9" t="str">
        <f>IF(ISNUMBER(MATCH(E9,dim_produits!$C:$C,0)),"OK","MANQUANT")</f>
        <v>OK</v>
      </c>
      <c r="Q9" t="str">
        <f>IF(ISNUMBER(MATCH(E9,dim_lignes_achat!$L:$L,0)),"OK","MANQUANT")</f>
        <v>OK</v>
      </c>
    </row>
    <row r="10" spans="1:17">
      <c r="A10">
        <f t="shared" si="3"/>
        <v>9</v>
      </c>
      <c r="B10" s="8">
        <v>46204</v>
      </c>
      <c r="C10" s="8">
        <v>46204</v>
      </c>
      <c r="D10">
        <f>IFERROR(_xlfn.XLOOKUP(E10,dim_produits!$C:$C,dim_produits!$A:$A,""),"")</f>
        <v>10</v>
      </c>
      <c r="E10" t="s">
        <v>227</v>
      </c>
      <c r="F10">
        <f>IF(E10="","",SUMIF(dim_lignes_achat!$L:$L,E10,dim_lignes_achat!$F:$F))</f>
        <v>44</v>
      </c>
      <c r="G10">
        <f>IF(E10="","",SUMIF(dim_lignes_vente!$I:$I,E10,dim_lignes_vente!$D:$D))</f>
        <v>61</v>
      </c>
      <c r="H10">
        <f>IF(E10="","",SUMIF(dim_pertes!$J:$J,E10,dim_pertes!$E:$E))</f>
        <v>0</v>
      </c>
      <c r="I10">
        <f t="shared" si="0"/>
        <v>-17</v>
      </c>
      <c r="J10">
        <v>1</v>
      </c>
      <c r="K10">
        <f t="shared" si="1"/>
        <v>18</v>
      </c>
      <c r="L10" s="10">
        <f t="shared" si="2"/>
        <v>10725</v>
      </c>
      <c r="M10" s="10">
        <f>IFERROR(_xlfn.XLOOKUP(E10,dim_lignes_achat!$L:$L,dim_lignes_achat!$H:$H,"",0,-1),"")</f>
        <v>595.83333333333337</v>
      </c>
      <c r="N10" t="s">
        <v>408</v>
      </c>
      <c r="O10" t="s">
        <v>420</v>
      </c>
      <c r="P10" t="str">
        <f>IF(ISNUMBER(MATCH(E10,dim_produits!$C:$C,0)),"OK","MANQUANT")</f>
        <v>OK</v>
      </c>
      <c r="Q10" t="str">
        <f>IF(ISNUMBER(MATCH(E10,dim_lignes_achat!$L:$L,0)),"OK","MANQUANT")</f>
        <v>OK</v>
      </c>
    </row>
    <row r="11" spans="1:17">
      <c r="A11">
        <f t="shared" si="3"/>
        <v>10</v>
      </c>
      <c r="B11" s="8">
        <v>46204</v>
      </c>
      <c r="C11" s="8">
        <v>46204</v>
      </c>
      <c r="D11">
        <f>IFERROR(_xlfn.XLOOKUP(E11,dim_produits!$C:$C,dim_produits!$A:$A,""),"")</f>
        <v>11</v>
      </c>
      <c r="E11" t="s">
        <v>223</v>
      </c>
      <c r="F11">
        <f>IF(E11="","",SUMIF(dim_lignes_achat!$L:$L,E11,dim_lignes_achat!$F:$F))</f>
        <v>159</v>
      </c>
      <c r="G11">
        <f>IF(E11="","",SUMIF(dim_lignes_vente!$I:$I,E11,dim_lignes_vente!$D:$D))</f>
        <v>119</v>
      </c>
      <c r="H11">
        <f>IF(E11="","",SUMIF(dim_pertes!$J:$J,E11,dim_pertes!$E:$E))</f>
        <v>0</v>
      </c>
      <c r="I11">
        <f t="shared" si="0"/>
        <v>40</v>
      </c>
      <c r="J11">
        <v>6</v>
      </c>
      <c r="K11">
        <f t="shared" si="1"/>
        <v>-34</v>
      </c>
      <c r="L11" s="10">
        <f t="shared" si="2"/>
        <v>-20400</v>
      </c>
      <c r="M11" s="10">
        <f>IFERROR(_xlfn.XLOOKUP(E11,dim_lignes_achat!$L:$L,dim_lignes_achat!$H:$H,"",0,-1),"")</f>
        <v>600</v>
      </c>
      <c r="N11" t="s">
        <v>408</v>
      </c>
      <c r="O11" t="s">
        <v>420</v>
      </c>
      <c r="P11" t="str">
        <f>IF(ISNUMBER(MATCH(E11,dim_produits!$C:$C,0)),"OK","MANQUANT")</f>
        <v>OK</v>
      </c>
      <c r="Q11" t="str">
        <f>IF(ISNUMBER(MATCH(E11,dim_lignes_achat!$L:$L,0)),"OK","MANQUANT")</f>
        <v>OK</v>
      </c>
    </row>
    <row r="12" spans="1:17">
      <c r="A12">
        <f t="shared" si="3"/>
        <v>11</v>
      </c>
      <c r="B12" s="8">
        <v>46204</v>
      </c>
      <c r="C12" s="8">
        <v>46204</v>
      </c>
      <c r="D12">
        <f>IFERROR(_xlfn.XLOOKUP(E12,dim_produits!$C:$C,dim_produits!$A:$A,""),"")</f>
        <v>12</v>
      </c>
      <c r="E12" t="s">
        <v>229</v>
      </c>
      <c r="F12">
        <f>IF(E12="","",SUMIF(dim_lignes_achat!$L:$L,E12,dim_lignes_achat!$F:$F))</f>
        <v>66</v>
      </c>
      <c r="G12">
        <f>IF(E12="","",SUMIF(dim_lignes_vente!$I:$I,E12,dim_lignes_vente!$D:$D))</f>
        <v>56</v>
      </c>
      <c r="H12">
        <f>IF(E12="","",SUMIF(dim_pertes!$J:$J,E12,dim_pertes!$E:$E))</f>
        <v>0</v>
      </c>
      <c r="I12">
        <f t="shared" si="0"/>
        <v>10</v>
      </c>
      <c r="J12">
        <v>24</v>
      </c>
      <c r="K12">
        <f t="shared" si="1"/>
        <v>14</v>
      </c>
      <c r="L12" s="10">
        <f t="shared" si="2"/>
        <v>8400</v>
      </c>
      <c r="M12" s="10">
        <f>IFERROR(_xlfn.XLOOKUP(E12,dim_lignes_achat!$L:$L,dim_lignes_achat!$H:$H,"",0,-1),"")</f>
        <v>600</v>
      </c>
      <c r="N12" t="s">
        <v>408</v>
      </c>
      <c r="O12" t="s">
        <v>420</v>
      </c>
      <c r="P12" t="str">
        <f>IF(ISNUMBER(MATCH(E12,dim_produits!$C:$C,0)),"OK","MANQUANT")</f>
        <v>OK</v>
      </c>
      <c r="Q12" t="str">
        <f>IF(ISNUMBER(MATCH(E12,dim_lignes_achat!$L:$L,0)),"OK","MANQUANT")</f>
        <v>OK</v>
      </c>
    </row>
    <row r="13" spans="1:17">
      <c r="A13">
        <f t="shared" si="3"/>
        <v>12</v>
      </c>
      <c r="B13" s="8">
        <v>46204</v>
      </c>
      <c r="C13" s="8">
        <v>46204</v>
      </c>
      <c r="D13">
        <f>IFERROR(_xlfn.XLOOKUP(E13,dim_produits!$C:$C,dim_produits!$A:$A,""),"")</f>
        <v>13</v>
      </c>
      <c r="E13" t="s">
        <v>233</v>
      </c>
      <c r="F13">
        <f>IF(E13="","",SUMIF(dim_lignes_achat!$L:$L,E13,dim_lignes_achat!$F:$F))</f>
        <v>19</v>
      </c>
      <c r="G13">
        <f>IF(E13="","",SUMIF(dim_lignes_vente!$I:$I,E13,dim_lignes_vente!$D:$D))</f>
        <v>1</v>
      </c>
      <c r="H13">
        <f>IF(E13="","",SUMIF(dim_pertes!$J:$J,E13,dim_pertes!$E:$E))</f>
        <v>0</v>
      </c>
      <c r="I13">
        <f t="shared" si="0"/>
        <v>18</v>
      </c>
      <c r="J13">
        <v>18</v>
      </c>
      <c r="K13">
        <f t="shared" si="1"/>
        <v>0</v>
      </c>
      <c r="L13" s="10">
        <f t="shared" si="2"/>
        <v>0</v>
      </c>
      <c r="M13" s="10">
        <f>IFERROR(_xlfn.XLOOKUP(E13,dim_lignes_achat!$L:$L,dim_lignes_achat!$H:$H,"",0,-1),"")</f>
        <v>700</v>
      </c>
      <c r="N13" t="s">
        <v>408</v>
      </c>
      <c r="O13" t="s">
        <v>420</v>
      </c>
      <c r="P13" t="str">
        <f>IF(ISNUMBER(MATCH(E13,dim_produits!$C:$C,0)),"OK","MANQUANT")</f>
        <v>OK</v>
      </c>
      <c r="Q13" t="str">
        <f>IF(ISNUMBER(MATCH(E13,dim_lignes_achat!$L:$L,0)),"OK","MANQUANT")</f>
        <v>OK</v>
      </c>
    </row>
    <row r="14" spans="1:17">
      <c r="A14">
        <f t="shared" si="3"/>
        <v>13</v>
      </c>
      <c r="B14" s="8">
        <v>46204</v>
      </c>
      <c r="C14" s="8">
        <v>46204</v>
      </c>
      <c r="D14">
        <f>IFERROR(_xlfn.XLOOKUP(E14,dim_produits!$C:$C,dim_produits!$A:$A,""),"")</f>
        <v>14</v>
      </c>
      <c r="E14" t="s">
        <v>373</v>
      </c>
      <c r="F14">
        <f>IF(E14="","",SUMIF(dim_lignes_achat!$L:$L,E14,dim_lignes_achat!$F:$F))</f>
        <v>120</v>
      </c>
      <c r="G14">
        <f>IF(E14="","",SUMIF(dim_lignes_vente!$I:$I,E14,dim_lignes_vente!$D:$D))</f>
        <v>36</v>
      </c>
      <c r="H14">
        <f>IF(E14="","",SUMIF(dim_pertes!$J:$J,E14,dim_pertes!$E:$E))</f>
        <v>0</v>
      </c>
      <c r="I14">
        <f t="shared" si="0"/>
        <v>84</v>
      </c>
      <c r="J14">
        <v>45</v>
      </c>
      <c r="K14">
        <f t="shared" si="1"/>
        <v>-39</v>
      </c>
      <c r="L14" s="10">
        <f t="shared" si="2"/>
        <v>-21612.5</v>
      </c>
      <c r="M14" s="10">
        <f>IFERROR(_xlfn.XLOOKUP(E14,dim_lignes_achat!$L:$L,dim_lignes_achat!$H:$H,"",0,-1),"")</f>
        <v>554.16666666666663</v>
      </c>
      <c r="N14" t="s">
        <v>408</v>
      </c>
      <c r="O14" t="s">
        <v>420</v>
      </c>
      <c r="P14" t="str">
        <f>IF(ISNUMBER(MATCH(E14,dim_produits!$C:$C,0)),"OK","MANQUANT")</f>
        <v>OK</v>
      </c>
      <c r="Q14" t="str">
        <f>IF(ISNUMBER(MATCH(E14,dim_lignes_achat!$L:$L,0)),"OK","MANQUANT")</f>
        <v>OK</v>
      </c>
    </row>
    <row r="15" spans="1:17">
      <c r="A15">
        <f t="shared" si="3"/>
        <v>14</v>
      </c>
      <c r="B15" s="8">
        <v>46204</v>
      </c>
      <c r="C15" s="8">
        <v>46204</v>
      </c>
      <c r="D15">
        <f>IFERROR(_xlfn.XLOOKUP(E15,dim_produits!$C:$C,dim_produits!$A:$A,""),"")</f>
        <v>15</v>
      </c>
      <c r="E15" t="s">
        <v>230</v>
      </c>
      <c r="F15">
        <f>IF(E15="","",SUMIF(dim_lignes_achat!$L:$L,E15,dim_lignes_achat!$F:$F))</f>
        <v>60</v>
      </c>
      <c r="G15">
        <f>IF(E15="","",SUMIF(dim_lignes_vente!$I:$I,E15,dim_lignes_vente!$D:$D))</f>
        <v>36</v>
      </c>
      <c r="H15">
        <f>IF(E15="","",SUMIF(dim_pertes!$J:$J,E15,dim_pertes!$E:$E))</f>
        <v>0</v>
      </c>
      <c r="I15">
        <f t="shared" si="0"/>
        <v>24</v>
      </c>
      <c r="J15">
        <v>22</v>
      </c>
      <c r="K15">
        <f t="shared" si="1"/>
        <v>-2</v>
      </c>
      <c r="L15" s="10">
        <f t="shared" si="2"/>
        <v>-1383.3333333333333</v>
      </c>
      <c r="M15" s="10">
        <f>IFERROR(_xlfn.XLOOKUP(E15,dim_lignes_achat!$L:$L,dim_lignes_achat!$H:$H,"",0,-1),"")</f>
        <v>691.66666666666663</v>
      </c>
      <c r="N15" t="s">
        <v>408</v>
      </c>
      <c r="O15" t="s">
        <v>420</v>
      </c>
      <c r="P15" t="str">
        <f>IF(ISNUMBER(MATCH(E15,dim_produits!$C:$C,0)),"OK","MANQUANT")</f>
        <v>OK</v>
      </c>
      <c r="Q15" t="str">
        <f>IF(ISNUMBER(MATCH(E15,dim_lignes_achat!$L:$L,0)),"OK","MANQUANT")</f>
        <v>OK</v>
      </c>
    </row>
    <row r="16" spans="1:17">
      <c r="A16">
        <f t="shared" si="3"/>
        <v>15</v>
      </c>
      <c r="B16" s="8">
        <v>46204</v>
      </c>
      <c r="C16" s="8">
        <v>46204</v>
      </c>
      <c r="D16">
        <f>IFERROR(_xlfn.XLOOKUP(E16,dim_produits!$C:$C,dim_produits!$A:$A,""),"")</f>
        <v>16</v>
      </c>
      <c r="E16" t="s">
        <v>419</v>
      </c>
      <c r="F16">
        <f>IF(E16="","",SUMIF(dim_lignes_achat!$L:$L,E16,dim_lignes_achat!$F:$F))</f>
        <v>123</v>
      </c>
      <c r="G16">
        <f>IF(E16="","",SUMIF(dim_lignes_vente!$I:$I,E16,dim_lignes_vente!$D:$D))</f>
        <v>111</v>
      </c>
      <c r="H16">
        <f>IF(E16="","",SUMIF(dim_pertes!$J:$J,E16,dim_pertes!$E:$E))</f>
        <v>0</v>
      </c>
      <c r="I16">
        <f t="shared" si="0"/>
        <v>12</v>
      </c>
      <c r="J16">
        <v>1</v>
      </c>
      <c r="K16">
        <f t="shared" si="1"/>
        <v>-11</v>
      </c>
      <c r="L16" s="10">
        <f t="shared" si="2"/>
        <v>-6600</v>
      </c>
      <c r="M16" s="10">
        <f>IFERROR(_xlfn.XLOOKUP(E16,dim_lignes_achat!$L:$L,dim_lignes_achat!$H:$H,"",0,-1),"")</f>
        <v>600</v>
      </c>
      <c r="N16" t="s">
        <v>408</v>
      </c>
      <c r="O16" t="s">
        <v>420</v>
      </c>
      <c r="P16" t="str">
        <f>IF(ISNUMBER(MATCH(E16,dim_produits!$C:$C,0)),"OK","MANQUANT")</f>
        <v>OK</v>
      </c>
      <c r="Q16" t="str">
        <f>IF(ISNUMBER(MATCH(E16,dim_lignes_achat!$L:$L,0)),"OK","MANQUANT")</f>
        <v>OK</v>
      </c>
    </row>
    <row r="17" spans="1:17">
      <c r="A17">
        <f t="shared" si="3"/>
        <v>16</v>
      </c>
      <c r="B17" s="8">
        <v>46204</v>
      </c>
      <c r="C17" s="8">
        <v>46204</v>
      </c>
      <c r="D17">
        <f>IFERROR(_xlfn.XLOOKUP(E17,dim_produits!$C:$C,dim_produits!$A:$A,""),"")</f>
        <v>17</v>
      </c>
      <c r="E17" t="s">
        <v>225</v>
      </c>
      <c r="F17">
        <f>IF(E17="","",SUMIF(dim_lignes_achat!$L:$L,E17,dim_lignes_achat!$F:$F))</f>
        <v>168</v>
      </c>
      <c r="G17">
        <f>IF(E17="","",SUMIF(dim_lignes_vente!$I:$I,E17,dim_lignes_vente!$D:$D))</f>
        <v>140</v>
      </c>
      <c r="H17">
        <f>IF(E17="","",SUMIF(dim_pertes!$J:$J,E17,dim_pertes!$E:$E))</f>
        <v>1</v>
      </c>
      <c r="I17">
        <f t="shared" si="0"/>
        <v>27</v>
      </c>
      <c r="J17">
        <v>22</v>
      </c>
      <c r="K17">
        <f t="shared" si="1"/>
        <v>-5</v>
      </c>
      <c r="L17" s="10">
        <f t="shared" si="2"/>
        <v>-2250</v>
      </c>
      <c r="M17" s="10">
        <f>IFERROR(_xlfn.XLOOKUP(E17,dim_lignes_achat!$L:$L,dim_lignes_achat!$H:$H,"",0,-1),"")</f>
        <v>450</v>
      </c>
      <c r="N17" t="s">
        <v>408</v>
      </c>
      <c r="O17" t="s">
        <v>420</v>
      </c>
      <c r="P17" t="str">
        <f>IF(ISNUMBER(MATCH(E17,dim_produits!$C:$C,0)),"OK","MANQUANT")</f>
        <v>OK</v>
      </c>
      <c r="Q17" t="str">
        <f>IF(ISNUMBER(MATCH(E17,dim_lignes_achat!$L:$L,0)),"OK","MANQUANT")</f>
        <v>OK</v>
      </c>
    </row>
    <row r="18" spans="1:17">
      <c r="A18">
        <f t="shared" si="3"/>
        <v>17</v>
      </c>
      <c r="B18" s="8">
        <v>46204</v>
      </c>
      <c r="C18" s="8">
        <v>46204</v>
      </c>
      <c r="D18">
        <f>IFERROR(_xlfn.XLOOKUP(E18,dim_produits!$C:$C,dim_produits!$A:$A,""),"")</f>
        <v>18</v>
      </c>
      <c r="E18" t="s">
        <v>228</v>
      </c>
      <c r="F18">
        <f>IF(E18="","",SUMIF(dim_lignes_achat!$L:$L,E18,dim_lignes_achat!$F:$F))</f>
        <v>48</v>
      </c>
      <c r="G18">
        <f>IF(E18="","",SUMIF(dim_lignes_vente!$I:$I,E18,dim_lignes_vente!$D:$D))</f>
        <v>69</v>
      </c>
      <c r="H18">
        <f>IF(E18="","",SUMIF(dim_pertes!$J:$J,E18,dim_pertes!$E:$E))</f>
        <v>0</v>
      </c>
      <c r="I18">
        <f t="shared" si="0"/>
        <v>-21</v>
      </c>
      <c r="J18">
        <v>10</v>
      </c>
      <c r="K18">
        <f t="shared" si="1"/>
        <v>31</v>
      </c>
      <c r="L18" s="10">
        <f t="shared" si="2"/>
        <v>18600</v>
      </c>
      <c r="M18" s="10">
        <f>IFERROR(_xlfn.XLOOKUP(E18,dim_lignes_achat!$L:$L,dim_lignes_achat!$H:$H,"",0,-1),"")</f>
        <v>600</v>
      </c>
      <c r="N18" t="s">
        <v>408</v>
      </c>
      <c r="O18" t="s">
        <v>420</v>
      </c>
      <c r="P18" t="str">
        <f>IF(ISNUMBER(MATCH(E18,dim_produits!$C:$C,0)),"OK","MANQUANT")</f>
        <v>OK</v>
      </c>
      <c r="Q18" t="str">
        <f>IF(ISNUMBER(MATCH(E18,dim_lignes_achat!$L:$L,0)),"OK","MANQUANT")</f>
        <v>OK</v>
      </c>
    </row>
    <row r="19" spans="1:17">
      <c r="A19">
        <f t="shared" si="3"/>
        <v>18</v>
      </c>
      <c r="B19" s="8">
        <v>46204</v>
      </c>
      <c r="C19" s="8">
        <v>46204</v>
      </c>
      <c r="D19">
        <f>IFERROR(_xlfn.XLOOKUP(E19,dim_produits!$C:$C,dim_produits!$A:$A,""),"")</f>
        <v>19</v>
      </c>
      <c r="E19" t="s">
        <v>186</v>
      </c>
      <c r="F19">
        <f>IF(E19="","",SUMIF(dim_lignes_achat!$L:$L,E19,dim_lignes_achat!$F:$F))</f>
        <v>24</v>
      </c>
      <c r="G19">
        <f>IF(E19="","",SUMIF(dim_lignes_vente!$I:$I,E19,dim_lignes_vente!$D:$D))</f>
        <v>0</v>
      </c>
      <c r="H19">
        <f>IF(E19="","",SUMIF(dim_pertes!$J:$J,E19,dim_pertes!$E:$E))</f>
        <v>0</v>
      </c>
      <c r="I19">
        <f t="shared" si="0"/>
        <v>24</v>
      </c>
      <c r="J19">
        <v>23</v>
      </c>
      <c r="K19">
        <f t="shared" si="1"/>
        <v>-1</v>
      </c>
      <c r="L19" s="10">
        <f t="shared" si="2"/>
        <v>-729.16666666666663</v>
      </c>
      <c r="M19" s="10">
        <f>IFERROR(_xlfn.XLOOKUP(E19,dim_lignes_achat!$L:$L,dim_lignes_achat!$H:$H,"",0,-1),"")</f>
        <v>729.16666666666663</v>
      </c>
      <c r="N19" t="s">
        <v>408</v>
      </c>
      <c r="O19" t="s">
        <v>420</v>
      </c>
      <c r="P19" t="str">
        <f>IF(ISNUMBER(MATCH(E19,dim_produits!$C:$C,0)),"OK","MANQUANT")</f>
        <v>OK</v>
      </c>
      <c r="Q19" t="str">
        <f>IF(ISNUMBER(MATCH(E19,dim_lignes_achat!$L:$L,0)),"OK","MANQUANT")</f>
        <v>OK</v>
      </c>
    </row>
    <row r="20" spans="1:17">
      <c r="A20">
        <f t="shared" si="3"/>
        <v>19</v>
      </c>
      <c r="B20" s="8">
        <v>46204</v>
      </c>
      <c r="C20" s="8">
        <v>46204</v>
      </c>
      <c r="D20">
        <f>IFERROR(_xlfn.XLOOKUP(E20,dim_produits!$C:$C,dim_produits!$A:$A,""),"")</f>
        <v>20</v>
      </c>
      <c r="E20" t="s">
        <v>187</v>
      </c>
      <c r="F20">
        <f>IF(E20="","",SUMIF(dim_lignes_achat!$L:$L,E20,dim_lignes_achat!$F:$F))</f>
        <v>24</v>
      </c>
      <c r="G20">
        <f>IF(E20="","",SUMIF(dim_lignes_vente!$I:$I,E20,dim_lignes_vente!$D:$D))</f>
        <v>0</v>
      </c>
      <c r="H20">
        <f>IF(E20="","",SUMIF(dim_pertes!$J:$J,E20,dim_pertes!$E:$E))</f>
        <v>0</v>
      </c>
      <c r="I20">
        <f t="shared" si="0"/>
        <v>24</v>
      </c>
      <c r="J20">
        <v>24</v>
      </c>
      <c r="K20">
        <f t="shared" si="1"/>
        <v>0</v>
      </c>
      <c r="L20" s="10">
        <f t="shared" si="2"/>
        <v>0</v>
      </c>
      <c r="M20" s="10">
        <f>IFERROR(_xlfn.XLOOKUP(E20,dim_lignes_achat!$L:$L,dim_lignes_achat!$H:$H,"",0,-1),"")</f>
        <v>666.66666666666663</v>
      </c>
      <c r="N20" t="s">
        <v>408</v>
      </c>
      <c r="O20" t="s">
        <v>420</v>
      </c>
      <c r="P20" t="str">
        <f>IF(ISNUMBER(MATCH(E20,dim_produits!$C:$C,0)),"OK","MANQUANT")</f>
        <v>OK</v>
      </c>
      <c r="Q20" t="str">
        <f>IF(ISNUMBER(MATCH(E20,dim_lignes_achat!$L:$L,0)),"OK","MANQUANT")</f>
        <v>OK</v>
      </c>
    </row>
    <row r="21" spans="1:17">
      <c r="A21">
        <f t="shared" si="3"/>
        <v>20</v>
      </c>
      <c r="B21" s="8">
        <v>46204</v>
      </c>
      <c r="C21" s="8">
        <v>46204</v>
      </c>
      <c r="D21">
        <f>IFERROR(_xlfn.XLOOKUP(E21,dim_produits!$C:$C,dim_produits!$A:$A,""),"")</f>
        <v>21</v>
      </c>
      <c r="E21" t="s">
        <v>188</v>
      </c>
      <c r="F21">
        <f>IF(E21="","",SUMIF(dim_lignes_achat!$L:$L,E21,dim_lignes_achat!$F:$F))</f>
        <v>24</v>
      </c>
      <c r="G21">
        <f>IF(E21="","",SUMIF(dim_lignes_vente!$I:$I,E21,dim_lignes_vente!$D:$D))</f>
        <v>0</v>
      </c>
      <c r="H21">
        <f>IF(E21="","",SUMIF(dim_pertes!$J:$J,E21,dim_pertes!$E:$E))</f>
        <v>0</v>
      </c>
      <c r="I21">
        <f t="shared" si="0"/>
        <v>24</v>
      </c>
      <c r="J21">
        <v>24</v>
      </c>
      <c r="K21">
        <f t="shared" si="1"/>
        <v>0</v>
      </c>
      <c r="L21" s="10">
        <f t="shared" si="2"/>
        <v>0</v>
      </c>
      <c r="M21" s="10">
        <f>IFERROR(_xlfn.XLOOKUP(E21,dim_lignes_achat!$L:$L,dim_lignes_achat!$H:$H,"",0,-1),"")</f>
        <v>666.66666666666663</v>
      </c>
      <c r="N21" t="s">
        <v>408</v>
      </c>
      <c r="O21" t="s">
        <v>420</v>
      </c>
      <c r="P21" t="str">
        <f>IF(ISNUMBER(MATCH(E21,dim_produits!$C:$C,0)),"OK","MANQUANT")</f>
        <v>OK</v>
      </c>
      <c r="Q21" t="str">
        <f>IF(ISNUMBER(MATCH(E21,dim_lignes_achat!$L:$L,0)),"OK","MANQUANT")</f>
        <v>OK</v>
      </c>
    </row>
    <row r="22" spans="1:17">
      <c r="A22">
        <f t="shared" si="3"/>
        <v>21</v>
      </c>
      <c r="B22" s="8">
        <v>46204</v>
      </c>
      <c r="C22" s="8">
        <v>46204</v>
      </c>
      <c r="D22">
        <f>IFERROR(_xlfn.XLOOKUP(E22,dim_produits!$C:$C,dim_produits!$A:$A,""),"")</f>
        <v>22</v>
      </c>
      <c r="E22" t="s">
        <v>189</v>
      </c>
      <c r="F22">
        <f>IF(E22="","",SUMIF(dim_lignes_achat!$L:$L,E22,dim_lignes_achat!$F:$F))</f>
        <v>24</v>
      </c>
      <c r="G22">
        <f>IF(E22="","",SUMIF(dim_lignes_vente!$I:$I,E22,dim_lignes_vente!$D:$D))</f>
        <v>0</v>
      </c>
      <c r="H22">
        <f>IF(E22="","",SUMIF(dim_pertes!$J:$J,E22,dim_pertes!$E:$E))</f>
        <v>0</v>
      </c>
      <c r="I22">
        <f t="shared" si="0"/>
        <v>24</v>
      </c>
      <c r="J22">
        <v>24</v>
      </c>
      <c r="K22">
        <f t="shared" si="1"/>
        <v>0</v>
      </c>
      <c r="L22" s="10">
        <f t="shared" si="2"/>
        <v>0</v>
      </c>
      <c r="M22" s="10">
        <f>IFERROR(_xlfn.XLOOKUP(E22,dim_lignes_achat!$L:$L,dim_lignes_achat!$H:$H,"",0,-1),"")</f>
        <v>666.66666666666663</v>
      </c>
      <c r="N22" t="s">
        <v>408</v>
      </c>
      <c r="O22" t="s">
        <v>420</v>
      </c>
      <c r="P22" t="str">
        <f>IF(ISNUMBER(MATCH(E22,dim_produits!$C:$C,0)),"OK","MANQUANT")</f>
        <v>OK</v>
      </c>
      <c r="Q22" t="str">
        <f>IF(ISNUMBER(MATCH(E22,dim_lignes_achat!$L:$L,0)),"OK","MANQUANT")</f>
        <v>OK</v>
      </c>
    </row>
    <row r="23" spans="1:17">
      <c r="A23">
        <f t="shared" si="3"/>
        <v>22</v>
      </c>
      <c r="B23" s="8">
        <v>46204</v>
      </c>
      <c r="C23" s="8">
        <v>46204</v>
      </c>
      <c r="D23">
        <f>IFERROR(_xlfn.XLOOKUP(E23,dim_produits!$C:$C,dim_produits!$A:$A,""),"")</f>
        <v>23</v>
      </c>
      <c r="E23" t="s">
        <v>190</v>
      </c>
      <c r="F23">
        <f>IF(E23="","",SUMIF(dim_lignes_achat!$L:$L,E23,dim_lignes_achat!$F:$F))</f>
        <v>24</v>
      </c>
      <c r="G23">
        <f>IF(E23="","",SUMIF(dim_lignes_vente!$I:$I,E23,dim_lignes_vente!$D:$D))</f>
        <v>1</v>
      </c>
      <c r="H23">
        <f>IF(E23="","",SUMIF(dim_pertes!$J:$J,E23,dim_pertes!$E:$E))</f>
        <v>0</v>
      </c>
      <c r="I23">
        <f t="shared" si="0"/>
        <v>23</v>
      </c>
      <c r="J23">
        <v>23</v>
      </c>
      <c r="K23">
        <f t="shared" si="1"/>
        <v>0</v>
      </c>
      <c r="L23" s="10">
        <f t="shared" si="2"/>
        <v>0</v>
      </c>
      <c r="M23" s="10">
        <f>IFERROR(_xlfn.XLOOKUP(E23,dim_lignes_achat!$L:$L,dim_lignes_achat!$H:$H,"",0,-1),"")</f>
        <v>666.66666666666663</v>
      </c>
      <c r="N23" t="s">
        <v>408</v>
      </c>
      <c r="O23" t="s">
        <v>420</v>
      </c>
      <c r="P23" t="str">
        <f>IF(ISNUMBER(MATCH(E23,dim_produits!$C:$C,0)),"OK","MANQUANT")</f>
        <v>OK</v>
      </c>
      <c r="Q23" t="str">
        <f>IF(ISNUMBER(MATCH(E23,dim_lignes_achat!$L:$L,0)),"OK","MANQUANT")</f>
        <v>OK</v>
      </c>
    </row>
    <row r="24" spans="1:17">
      <c r="A24">
        <f t="shared" si="3"/>
        <v>23</v>
      </c>
      <c r="B24" s="8">
        <v>46204</v>
      </c>
      <c r="C24" s="8">
        <v>46204</v>
      </c>
      <c r="D24">
        <f>IFERROR(_xlfn.XLOOKUP(E24,dim_produits!$C:$C,dim_produits!$A:$A,""),"")</f>
        <v>24</v>
      </c>
      <c r="E24" t="s">
        <v>191</v>
      </c>
      <c r="F24">
        <f>IF(E24="","",SUMIF(dim_lignes_achat!$L:$L,E24,dim_lignes_achat!$F:$F))</f>
        <v>24</v>
      </c>
      <c r="G24">
        <f>IF(E24="","",SUMIF(dim_lignes_vente!$I:$I,E24,dim_lignes_vente!$D:$D))</f>
        <v>1</v>
      </c>
      <c r="H24">
        <f>IF(E24="","",SUMIF(dim_pertes!$J:$J,E24,dim_pertes!$E:$E))</f>
        <v>0</v>
      </c>
      <c r="I24">
        <f t="shared" si="0"/>
        <v>23</v>
      </c>
      <c r="J24">
        <v>23</v>
      </c>
      <c r="K24">
        <f t="shared" si="1"/>
        <v>0</v>
      </c>
      <c r="L24" s="10">
        <f t="shared" si="2"/>
        <v>0</v>
      </c>
      <c r="M24" s="10">
        <f>IFERROR(_xlfn.XLOOKUP(E24,dim_lignes_achat!$L:$L,dim_lignes_achat!$H:$H,"",0,-1),"")</f>
        <v>333.33333333333331</v>
      </c>
      <c r="N24" t="s">
        <v>408</v>
      </c>
      <c r="O24" t="s">
        <v>420</v>
      </c>
      <c r="P24" t="str">
        <f>IF(ISNUMBER(MATCH(E24,dim_produits!$C:$C,0)),"OK","MANQUANT")</f>
        <v>OK</v>
      </c>
      <c r="Q24" t="str">
        <f>IF(ISNUMBER(MATCH(E24,dim_lignes_achat!$L:$L,0)),"OK","MANQUANT")</f>
        <v>OK</v>
      </c>
    </row>
    <row r="25" spans="1:17">
      <c r="A25">
        <f t="shared" si="3"/>
        <v>24</v>
      </c>
      <c r="B25" s="8">
        <v>46204</v>
      </c>
      <c r="C25" s="8">
        <v>46204</v>
      </c>
      <c r="D25">
        <f>IFERROR(_xlfn.XLOOKUP(E25,dim_produits!$C:$C,dim_produits!$A:$A,""),"")</f>
        <v>25</v>
      </c>
      <c r="E25" t="s">
        <v>160</v>
      </c>
      <c r="F25">
        <f>IF(E25="","",SUMIF(dim_lignes_achat!$L:$L,E25,dim_lignes_achat!$F:$F))</f>
        <v>50</v>
      </c>
      <c r="G25">
        <f>IF(E25="","",SUMIF(dim_lignes_vente!$I:$I,E25,dim_lignes_vente!$D:$D))</f>
        <v>1</v>
      </c>
      <c r="H25">
        <f>IF(E25="","",SUMIF(dim_pertes!$J:$J,E25,dim_pertes!$E:$E))</f>
        <v>0</v>
      </c>
      <c r="I25">
        <f t="shared" si="0"/>
        <v>49</v>
      </c>
      <c r="J25">
        <v>48</v>
      </c>
      <c r="K25">
        <f t="shared" si="1"/>
        <v>-1</v>
      </c>
      <c r="L25" s="10">
        <f t="shared" si="2"/>
        <v>-50</v>
      </c>
      <c r="M25" s="10">
        <f>IFERROR(_xlfn.XLOOKUP(E25,dim_lignes_achat!$L:$L,dim_lignes_achat!$H:$H,"",0,-1),"")</f>
        <v>50</v>
      </c>
      <c r="N25" t="s">
        <v>408</v>
      </c>
      <c r="O25" t="s">
        <v>420</v>
      </c>
      <c r="P25" t="str">
        <f>IF(ISNUMBER(MATCH(E25,dim_produits!$C:$C,0)),"OK","MANQUANT")</f>
        <v>OK</v>
      </c>
      <c r="Q25" t="str">
        <f>IF(ISNUMBER(MATCH(E25,dim_lignes_achat!$L:$L,0)),"OK","MANQUANT")</f>
        <v>OK</v>
      </c>
    </row>
    <row r="26" spans="1:17">
      <c r="A26">
        <f t="shared" si="3"/>
        <v>25</v>
      </c>
      <c r="B26" s="8">
        <v>46204</v>
      </c>
      <c r="C26" s="8">
        <v>46204</v>
      </c>
      <c r="D26">
        <f>IFERROR(_xlfn.XLOOKUP(E26,dim_produits!$C:$C,dim_produits!$A:$A,""),"")</f>
        <v>26</v>
      </c>
      <c r="E26" t="s">
        <v>176</v>
      </c>
      <c r="F26">
        <f>IF(E26="","",SUMIF(dim_lignes_achat!$L:$L,E26,dim_lignes_achat!$F:$F))</f>
        <v>50</v>
      </c>
      <c r="G26">
        <f>IF(E26="","",SUMIF(dim_lignes_vente!$I:$I,E26,dim_lignes_vente!$D:$D))</f>
        <v>2</v>
      </c>
      <c r="H26">
        <f>IF(E26="","",SUMIF(dim_pertes!$J:$J,E26,dim_pertes!$E:$E))</f>
        <v>0</v>
      </c>
      <c r="I26">
        <f t="shared" si="0"/>
        <v>48</v>
      </c>
      <c r="J26">
        <v>49</v>
      </c>
      <c r="K26">
        <f t="shared" si="1"/>
        <v>1</v>
      </c>
      <c r="L26" s="10">
        <f t="shared" si="2"/>
        <v>86</v>
      </c>
      <c r="M26" s="10">
        <f>IFERROR(_xlfn.XLOOKUP(E26,dim_lignes_achat!$L:$L,dim_lignes_achat!$H:$H,"",0,-1),"")</f>
        <v>86</v>
      </c>
      <c r="N26" t="s">
        <v>408</v>
      </c>
      <c r="O26" t="s">
        <v>420</v>
      </c>
      <c r="P26" t="str">
        <f>IF(ISNUMBER(MATCH(E26,dim_produits!$C:$C,0)),"OK","MANQUANT")</f>
        <v>OK</v>
      </c>
      <c r="Q26" t="str">
        <f>IF(ISNUMBER(MATCH(E26,dim_lignes_achat!$L:$L,0)),"OK","MANQUANT")</f>
        <v>OK</v>
      </c>
    </row>
    <row r="27" spans="1:17">
      <c r="A27">
        <f t="shared" si="3"/>
        <v>26</v>
      </c>
      <c r="B27" s="8">
        <v>46204</v>
      </c>
      <c r="C27" s="8">
        <v>46204</v>
      </c>
      <c r="D27">
        <f>IFERROR(_xlfn.XLOOKUP(E27,dim_produits!$C:$C,dim_produits!$A:$A,""),"")</f>
        <v>27</v>
      </c>
      <c r="E27" t="s">
        <v>177</v>
      </c>
      <c r="F27">
        <f>IF(E27="","",SUMIF(dim_lignes_achat!$L:$L,E27,dim_lignes_achat!$F:$F))</f>
        <v>48</v>
      </c>
      <c r="G27">
        <f>IF(E27="","",SUMIF(dim_lignes_vente!$I:$I,E27,dim_lignes_vente!$D:$D))</f>
        <v>4</v>
      </c>
      <c r="H27">
        <f>IF(E27="","",SUMIF(dim_pertes!$J:$J,E27,dim_pertes!$E:$E))</f>
        <v>0</v>
      </c>
      <c r="I27">
        <f t="shared" si="0"/>
        <v>44</v>
      </c>
      <c r="J27">
        <v>44</v>
      </c>
      <c r="K27">
        <f t="shared" si="1"/>
        <v>0</v>
      </c>
      <c r="L27" s="10">
        <f t="shared" si="2"/>
        <v>0</v>
      </c>
      <c r="M27" s="10">
        <f>IFERROR(_xlfn.XLOOKUP(E27,dim_lignes_achat!$L:$L,dim_lignes_achat!$H:$H,"",0,-1),"")</f>
        <v>37.5</v>
      </c>
      <c r="N27" t="s">
        <v>408</v>
      </c>
      <c r="O27" t="s">
        <v>420</v>
      </c>
      <c r="P27" t="str">
        <f>IF(ISNUMBER(MATCH(E27,dim_produits!$C:$C,0)),"OK","MANQUANT")</f>
        <v>OK</v>
      </c>
      <c r="Q27" t="str">
        <f>IF(ISNUMBER(MATCH(E27,dim_lignes_achat!$L:$L,0)),"OK","MANQUANT")</f>
        <v>OK</v>
      </c>
    </row>
    <row r="28" spans="1:17">
      <c r="A28">
        <f t="shared" si="3"/>
        <v>27</v>
      </c>
      <c r="B28" s="8">
        <v>46204</v>
      </c>
      <c r="C28" s="8">
        <v>46204</v>
      </c>
      <c r="D28">
        <f>IFERROR(_xlfn.XLOOKUP(E28,dim_produits!$C:$C,dim_produits!$A:$A,""),"")</f>
        <v>28</v>
      </c>
      <c r="E28" t="s">
        <v>267</v>
      </c>
      <c r="F28">
        <f>IF(E28="","",SUMIF(dim_lignes_achat!$L:$L,E28,dim_lignes_achat!$F:$F))</f>
        <v>98</v>
      </c>
      <c r="G28">
        <f>IF(E28="","",SUMIF(dim_lignes_vente!$I:$I,E28,dim_lignes_vente!$D:$D))</f>
        <v>20</v>
      </c>
      <c r="H28">
        <f>IF(E28="","",SUMIF(dim_pertes!$J:$J,E28,dim_pertes!$E:$E))</f>
        <v>0</v>
      </c>
      <c r="I28">
        <f t="shared" si="0"/>
        <v>78</v>
      </c>
      <c r="J28">
        <v>78</v>
      </c>
      <c r="K28">
        <f t="shared" si="1"/>
        <v>0</v>
      </c>
      <c r="L28" s="10">
        <f t="shared" si="2"/>
        <v>0</v>
      </c>
      <c r="M28" s="10">
        <f>IFERROR(_xlfn.XLOOKUP(E28,dim_lignes_achat!$L:$L,dim_lignes_achat!$H:$H,"",0,-1),"")</f>
        <v>13.26530612244898</v>
      </c>
      <c r="N28" t="s">
        <v>408</v>
      </c>
      <c r="O28" t="s">
        <v>420</v>
      </c>
      <c r="P28" t="str">
        <f>IF(ISNUMBER(MATCH(E28,dim_produits!$C:$C,0)),"OK","MANQUANT")</f>
        <v>OK</v>
      </c>
      <c r="Q28" t="str">
        <f>IF(ISNUMBER(MATCH(E28,dim_lignes_achat!$L:$L,0)),"OK","MANQUANT")</f>
        <v>OK</v>
      </c>
    </row>
    <row r="29" spans="1:17">
      <c r="A29">
        <f t="shared" si="3"/>
        <v>28</v>
      </c>
      <c r="B29" s="8">
        <v>46204</v>
      </c>
      <c r="C29" s="8">
        <v>46204</v>
      </c>
      <c r="D29">
        <f>IFERROR(_xlfn.XLOOKUP(E29,dim_produits!$C:$C,dim_produits!$A:$A,""),"")</f>
        <v>29</v>
      </c>
      <c r="E29" t="s">
        <v>184</v>
      </c>
      <c r="F29">
        <f>IF(E29="","",SUMIF(dim_lignes_achat!$L:$L,E29,dim_lignes_achat!$F:$F))</f>
        <v>50</v>
      </c>
      <c r="G29">
        <f>IF(E29="","",SUMIF(dim_lignes_vente!$I:$I,E29,dim_lignes_vente!$D:$D))</f>
        <v>3</v>
      </c>
      <c r="H29">
        <f>IF(E29="","",SUMIF(dim_pertes!$J:$J,E29,dim_pertes!$E:$E))</f>
        <v>0</v>
      </c>
      <c r="I29">
        <f t="shared" si="0"/>
        <v>47</v>
      </c>
      <c r="J29">
        <v>45</v>
      </c>
      <c r="K29">
        <f t="shared" si="1"/>
        <v>-2</v>
      </c>
      <c r="L29" s="10">
        <f t="shared" si="2"/>
        <v>-740</v>
      </c>
      <c r="M29" s="10">
        <f>IFERROR(_xlfn.XLOOKUP(E29,dim_lignes_achat!$L:$L,dim_lignes_achat!$H:$H,"",0,-1),"")</f>
        <v>370</v>
      </c>
      <c r="N29" t="s">
        <v>408</v>
      </c>
      <c r="O29" t="s">
        <v>420</v>
      </c>
      <c r="P29" t="str">
        <f>IF(ISNUMBER(MATCH(E29,dim_produits!$C:$C,0)),"OK","MANQUANT")</f>
        <v>OK</v>
      </c>
      <c r="Q29" t="str">
        <f>IF(ISNUMBER(MATCH(E29,dim_lignes_achat!$L:$L,0)),"OK","MANQUANT")</f>
        <v>OK</v>
      </c>
    </row>
    <row r="30" spans="1:17">
      <c r="A30">
        <f t="shared" si="3"/>
        <v>29</v>
      </c>
      <c r="B30" s="8">
        <v>46204</v>
      </c>
      <c r="C30" s="8">
        <v>46204</v>
      </c>
      <c r="D30">
        <f>IFERROR(_xlfn.XLOOKUP(E30,dim_produits!$C:$C,dim_produits!$A:$A,""),"")</f>
        <v>31</v>
      </c>
      <c r="E30" t="s">
        <v>200</v>
      </c>
      <c r="F30">
        <f>IF(E30="","",SUMIF(dim_lignes_achat!$L:$L,E30,dim_lignes_achat!$F:$F))</f>
        <v>10</v>
      </c>
      <c r="G30">
        <f>IF(E30="","",SUMIF(dim_lignes_vente!$I:$I,E30,dim_lignes_vente!$D:$D))</f>
        <v>7</v>
      </c>
      <c r="H30">
        <f>IF(E30="","",SUMIF(dim_pertes!$J:$J,E30,dim_pertes!$E:$E))</f>
        <v>0</v>
      </c>
      <c r="I30">
        <f t="shared" si="0"/>
        <v>3</v>
      </c>
      <c r="J30">
        <v>0</v>
      </c>
      <c r="K30">
        <f t="shared" si="1"/>
        <v>-3</v>
      </c>
      <c r="L30" s="10">
        <f t="shared" si="2"/>
        <v>-2700</v>
      </c>
      <c r="M30" s="10">
        <f>IFERROR(_xlfn.XLOOKUP(E30,dim_lignes_achat!$L:$L,dim_lignes_achat!$H:$H,"",0,-1),"")</f>
        <v>900</v>
      </c>
      <c r="N30" t="s">
        <v>408</v>
      </c>
      <c r="O30" t="s">
        <v>420</v>
      </c>
      <c r="P30" t="str">
        <f>IF(ISNUMBER(MATCH(E30,dim_produits!$C:$C,0)),"OK","MANQUANT")</f>
        <v>OK</v>
      </c>
      <c r="Q30" t="str">
        <f>IF(ISNUMBER(MATCH(E30,dim_lignes_achat!$L:$L,0)),"OK","MANQUANT")</f>
        <v>OK</v>
      </c>
    </row>
    <row r="31" spans="1:17">
      <c r="A31">
        <f t="shared" si="3"/>
        <v>30</v>
      </c>
      <c r="B31" s="8">
        <v>46204</v>
      </c>
      <c r="C31" s="8">
        <v>46204</v>
      </c>
      <c r="D31">
        <f>IFERROR(_xlfn.XLOOKUP(E31,dim_produits!$C:$C,dim_produits!$A:$A,""),"")</f>
        <v>32</v>
      </c>
      <c r="E31" t="s">
        <v>211</v>
      </c>
      <c r="F31">
        <f>IF(E31="","",SUMIF(dim_lignes_achat!$L:$L,E31,dim_lignes_achat!$F:$F))</f>
        <v>24</v>
      </c>
      <c r="G31">
        <f>IF(E31="","",SUMIF(dim_lignes_vente!$I:$I,E31,dim_lignes_vente!$D:$D))</f>
        <v>0</v>
      </c>
      <c r="H31">
        <f>IF(E31="","",SUMIF(dim_pertes!$J:$J,E31,dim_pertes!$E:$E))</f>
        <v>0</v>
      </c>
      <c r="I31">
        <f t="shared" si="0"/>
        <v>24</v>
      </c>
      <c r="J31">
        <v>24</v>
      </c>
      <c r="K31">
        <f t="shared" si="1"/>
        <v>0</v>
      </c>
      <c r="L31" s="10">
        <f t="shared" si="2"/>
        <v>0</v>
      </c>
      <c r="M31" s="10">
        <f>IFERROR(_xlfn.XLOOKUP(E31,dim_lignes_achat!$L:$L,dim_lignes_achat!$H:$H,"",0,-1),"")</f>
        <v>158.33000000000001</v>
      </c>
      <c r="N31" t="s">
        <v>408</v>
      </c>
      <c r="O31" t="s">
        <v>420</v>
      </c>
      <c r="P31" t="str">
        <f>IF(ISNUMBER(MATCH(E31,dim_produits!$C:$C,0)),"OK","MANQUANT")</f>
        <v>OK</v>
      </c>
      <c r="Q31" t="str">
        <f>IF(ISNUMBER(MATCH(E31,dim_lignes_achat!$L:$L,0)),"OK","MANQUANT")</f>
        <v>OK</v>
      </c>
    </row>
    <row r="32" spans="1:17">
      <c r="A32">
        <f t="shared" si="3"/>
        <v>31</v>
      </c>
      <c r="B32" s="8">
        <v>46204</v>
      </c>
      <c r="C32" s="8">
        <v>46204</v>
      </c>
      <c r="D32">
        <f>IFERROR(_xlfn.XLOOKUP(E32,dim_produits!$C:$C,dim_produits!$A:$A,""),"")</f>
        <v>33</v>
      </c>
      <c r="E32" t="s">
        <v>212</v>
      </c>
      <c r="F32">
        <f>IF(E32="","",SUMIF(dim_lignes_achat!$L:$L,E32,dim_lignes_achat!$F:$F))</f>
        <v>30</v>
      </c>
      <c r="G32">
        <f>IF(E32="","",SUMIF(dim_lignes_vente!$I:$I,E32,dim_lignes_vente!$D:$D))</f>
        <v>23</v>
      </c>
      <c r="H32">
        <f>IF(E32="","",SUMIF(dim_pertes!$J:$J,E32,dim_pertes!$E:$E))</f>
        <v>0</v>
      </c>
      <c r="I32">
        <f t="shared" si="0"/>
        <v>7</v>
      </c>
      <c r="J32">
        <v>18</v>
      </c>
      <c r="K32">
        <f t="shared" si="1"/>
        <v>11</v>
      </c>
      <c r="L32" s="10">
        <f t="shared" si="2"/>
        <v>2475</v>
      </c>
      <c r="M32" s="10">
        <f>IFERROR(_xlfn.XLOOKUP(E32,dim_lignes_achat!$L:$L,dim_lignes_achat!$H:$H,"",0,-1),"")</f>
        <v>225</v>
      </c>
      <c r="N32" t="s">
        <v>408</v>
      </c>
      <c r="O32" t="s">
        <v>420</v>
      </c>
      <c r="P32" t="str">
        <f>IF(ISNUMBER(MATCH(E32,dim_produits!$C:$C,0)),"OK","MANQUANT")</f>
        <v>OK</v>
      </c>
      <c r="Q32" t="str">
        <f>IF(ISNUMBER(MATCH(E32,dim_lignes_achat!$L:$L,0)),"OK","MANQUANT")</f>
        <v>OK</v>
      </c>
    </row>
    <row r="33" spans="1:17">
      <c r="A33">
        <f t="shared" si="3"/>
        <v>32</v>
      </c>
      <c r="B33" s="8">
        <v>46204</v>
      </c>
      <c r="C33" s="8">
        <v>46204</v>
      </c>
      <c r="D33">
        <f>IFERROR(_xlfn.XLOOKUP(E33,dim_produits!$C:$C,dim_produits!$A:$A,""),"")</f>
        <v>34</v>
      </c>
      <c r="E33" t="s">
        <v>213</v>
      </c>
      <c r="F33">
        <f>IF(E33="","",SUMIF(dim_lignes_achat!$L:$L,E33,dim_lignes_achat!$F:$F))</f>
        <v>10</v>
      </c>
      <c r="G33">
        <f>IF(E33="","",SUMIF(dim_lignes_vente!$I:$I,E33,dim_lignes_vente!$D:$D))</f>
        <v>2</v>
      </c>
      <c r="H33">
        <f>IF(E33="","",SUMIF(dim_pertes!$J:$J,E33,dim_pertes!$E:$E))</f>
        <v>0</v>
      </c>
      <c r="I33">
        <f t="shared" si="0"/>
        <v>8</v>
      </c>
      <c r="J33">
        <v>7</v>
      </c>
      <c r="K33">
        <f t="shared" si="1"/>
        <v>-1</v>
      </c>
      <c r="L33" s="10">
        <f t="shared" si="2"/>
        <v>-1000</v>
      </c>
      <c r="M33" s="10">
        <f>IFERROR(_xlfn.XLOOKUP(E33,dim_lignes_achat!$L:$L,dim_lignes_achat!$H:$H,"",0,-1),"")</f>
        <v>1000</v>
      </c>
      <c r="N33" t="s">
        <v>408</v>
      </c>
      <c r="O33" t="s">
        <v>420</v>
      </c>
      <c r="P33" t="str">
        <f>IF(ISNUMBER(MATCH(E33,dim_produits!$C:$C,0)),"OK","MANQUANT")</f>
        <v>OK</v>
      </c>
      <c r="Q33" t="str">
        <f>IF(ISNUMBER(MATCH(E33,dim_lignes_achat!$L:$L,0)),"OK","MANQUANT")</f>
        <v>OK</v>
      </c>
    </row>
    <row r="34" spans="1:17">
      <c r="A34">
        <f t="shared" si="3"/>
        <v>33</v>
      </c>
      <c r="B34" s="8">
        <v>46204</v>
      </c>
      <c r="C34" s="8">
        <v>46204</v>
      </c>
      <c r="D34">
        <f>IFERROR(_xlfn.XLOOKUP(E34,dim_produits!$C:$C,dim_produits!$A:$A,""),"")</f>
        <v>35</v>
      </c>
      <c r="E34" t="s">
        <v>214</v>
      </c>
      <c r="F34">
        <f>IF(E34="","",SUMIF(dim_lignes_achat!$L:$L,E34,dim_lignes_achat!$F:$F))</f>
        <v>24</v>
      </c>
      <c r="G34">
        <f>IF(E34="","",SUMIF(dim_lignes_vente!$I:$I,E34,dim_lignes_vente!$D:$D))</f>
        <v>0</v>
      </c>
      <c r="H34">
        <f>IF(E34="","",SUMIF(dim_pertes!$J:$J,E34,dim_pertes!$E:$E))</f>
        <v>0</v>
      </c>
      <c r="I34">
        <f t="shared" si="0"/>
        <v>24</v>
      </c>
      <c r="J34">
        <v>24</v>
      </c>
      <c r="K34">
        <f t="shared" si="1"/>
        <v>0</v>
      </c>
      <c r="L34" s="10">
        <f t="shared" si="2"/>
        <v>0</v>
      </c>
      <c r="M34" s="10">
        <f>IFERROR(_xlfn.XLOOKUP(E34,dim_lignes_achat!$L:$L,dim_lignes_achat!$H:$H,"",0,-1),"")</f>
        <v>141.66</v>
      </c>
      <c r="N34" t="s">
        <v>408</v>
      </c>
      <c r="O34" t="s">
        <v>420</v>
      </c>
      <c r="P34" t="str">
        <f>IF(ISNUMBER(MATCH(E34,dim_produits!$C:$C,0)),"OK","MANQUANT")</f>
        <v>OK</v>
      </c>
      <c r="Q34" t="str">
        <f>IF(ISNUMBER(MATCH(E34,dim_lignes_achat!$L:$L,0)),"OK","MANQUANT")</f>
        <v>OK</v>
      </c>
    </row>
    <row r="35" spans="1:17">
      <c r="A35">
        <f t="shared" si="3"/>
        <v>34</v>
      </c>
      <c r="B35" s="8">
        <v>46204</v>
      </c>
      <c r="C35" s="8">
        <v>46204</v>
      </c>
      <c r="D35">
        <f>IFERROR(_xlfn.XLOOKUP(E35,dim_produits!$C:$C,dim_produits!$A:$A,""),"")</f>
        <v>36</v>
      </c>
      <c r="E35" t="s">
        <v>215</v>
      </c>
      <c r="F35">
        <f>IF(E35="","",SUMIF(dim_lignes_achat!$L:$L,E35,dim_lignes_achat!$F:$F))</f>
        <v>89</v>
      </c>
      <c r="G35">
        <f>IF(E35="","",SUMIF(dim_lignes_vente!$I:$I,E35,dim_lignes_vente!$D:$D))</f>
        <v>8</v>
      </c>
      <c r="H35">
        <f>IF(E35="","",SUMIF(dim_pertes!$J:$J,E35,dim_pertes!$E:$E))</f>
        <v>0</v>
      </c>
      <c r="I35">
        <f t="shared" si="0"/>
        <v>81</v>
      </c>
      <c r="J35">
        <v>51</v>
      </c>
      <c r="K35">
        <f t="shared" si="1"/>
        <v>-30</v>
      </c>
      <c r="L35" s="10">
        <f t="shared" si="2"/>
        <v>-6000</v>
      </c>
      <c r="M35" s="10">
        <f>IFERROR(_xlfn.XLOOKUP(E35,dim_lignes_achat!$L:$L,dim_lignes_achat!$H:$H,"",0,-1),"")</f>
        <v>200</v>
      </c>
      <c r="N35" t="s">
        <v>408</v>
      </c>
      <c r="O35" t="s">
        <v>420</v>
      </c>
      <c r="P35" t="str">
        <f>IF(ISNUMBER(MATCH(E35,dim_produits!$C:$C,0)),"OK","MANQUANT")</f>
        <v>OK</v>
      </c>
      <c r="Q35" t="str">
        <f>IF(ISNUMBER(MATCH(E35,dim_lignes_achat!$L:$L,0)),"OK","MANQUANT")</f>
        <v>OK</v>
      </c>
    </row>
    <row r="36" spans="1:17">
      <c r="A36">
        <f t="shared" si="3"/>
        <v>35</v>
      </c>
      <c r="B36" s="8">
        <v>46204</v>
      </c>
      <c r="C36" s="8">
        <v>46204</v>
      </c>
      <c r="D36">
        <f>IFERROR(_xlfn.XLOOKUP(E36,dim_produits!$C:$C,dim_produits!$A:$A,""),"")</f>
        <v>37</v>
      </c>
      <c r="E36" t="s">
        <v>244</v>
      </c>
      <c r="F36">
        <f>IF(E36="","",SUMIF(dim_lignes_achat!$L:$L,E36,dim_lignes_achat!$F:$F))</f>
        <v>3</v>
      </c>
      <c r="G36">
        <f>IF(E36="","",SUMIF(dim_lignes_vente!$I:$I,E36,dim_lignes_vente!$D:$D))</f>
        <v>0</v>
      </c>
      <c r="H36">
        <f>IF(E36="","",SUMIF(dim_pertes!$J:$J,E36,dim_pertes!$E:$E))</f>
        <v>0</v>
      </c>
      <c r="I36">
        <f t="shared" si="0"/>
        <v>3</v>
      </c>
      <c r="J36">
        <v>3</v>
      </c>
      <c r="K36">
        <f t="shared" si="1"/>
        <v>0</v>
      </c>
      <c r="L36" s="10">
        <f t="shared" si="2"/>
        <v>0</v>
      </c>
      <c r="M36" s="10">
        <f>IFERROR(_xlfn.XLOOKUP(E36,dim_lignes_achat!$L:$L,dim_lignes_achat!$H:$H,"",0,-1),"")</f>
        <v>900</v>
      </c>
      <c r="N36" t="s">
        <v>408</v>
      </c>
      <c r="O36" t="s">
        <v>420</v>
      </c>
      <c r="P36" t="str">
        <f>IF(ISNUMBER(MATCH(E36,dim_produits!$C:$C,0)),"OK","MANQUANT")</f>
        <v>OK</v>
      </c>
      <c r="Q36" t="str">
        <f>IF(ISNUMBER(MATCH(E36,dim_lignes_achat!$L:$L,0)),"OK","MANQUANT")</f>
        <v>OK</v>
      </c>
    </row>
    <row r="37" spans="1:17">
      <c r="A37">
        <f t="shared" si="3"/>
        <v>36</v>
      </c>
      <c r="B37" s="8">
        <v>46204</v>
      </c>
      <c r="C37" s="8">
        <v>46204</v>
      </c>
      <c r="D37">
        <f>IFERROR(_xlfn.XLOOKUP(E37,dim_produits!$C:$C,dim_produits!$A:$A,""),"")</f>
        <v>38</v>
      </c>
      <c r="E37" t="s">
        <v>245</v>
      </c>
      <c r="F37">
        <f>IF(E37="","",SUMIF(dim_lignes_achat!$L:$L,E37,dim_lignes_achat!$F:$F))</f>
        <v>2</v>
      </c>
      <c r="G37">
        <f>IF(E37="","",SUMIF(dim_lignes_vente!$I:$I,E37,dim_lignes_vente!$D:$D))</f>
        <v>0</v>
      </c>
      <c r="H37">
        <f>IF(E37="","",SUMIF(dim_pertes!$J:$J,E37,dim_pertes!$E:$E))</f>
        <v>0</v>
      </c>
      <c r="I37">
        <f t="shared" si="0"/>
        <v>2</v>
      </c>
      <c r="J37">
        <v>2</v>
      </c>
      <c r="K37">
        <f t="shared" si="1"/>
        <v>0</v>
      </c>
      <c r="L37" s="10">
        <f t="shared" si="2"/>
        <v>0</v>
      </c>
      <c r="M37" s="10">
        <f>IFERROR(_xlfn.XLOOKUP(E37,dim_lignes_achat!$L:$L,dim_lignes_achat!$H:$H,"",0,-1),"")</f>
        <v>2250</v>
      </c>
      <c r="N37" t="s">
        <v>408</v>
      </c>
      <c r="O37" t="s">
        <v>420</v>
      </c>
      <c r="P37" t="str">
        <f>IF(ISNUMBER(MATCH(E37,dim_produits!$C:$C,0)),"OK","MANQUANT")</f>
        <v>OK</v>
      </c>
      <c r="Q37" t="str">
        <f>IF(ISNUMBER(MATCH(E37,dim_lignes_achat!$L:$L,0)),"OK","MANQUANT")</f>
        <v>OK</v>
      </c>
    </row>
    <row r="38" spans="1:17">
      <c r="A38">
        <f t="shared" si="3"/>
        <v>37</v>
      </c>
      <c r="B38" s="8">
        <v>46204</v>
      </c>
      <c r="C38" s="8">
        <v>46204</v>
      </c>
      <c r="D38">
        <f>IFERROR(_xlfn.XLOOKUP(E38,dim_produits!$C:$C,dim_produits!$A:$A,""),"")</f>
        <v>39</v>
      </c>
      <c r="E38" t="s">
        <v>246</v>
      </c>
      <c r="F38">
        <f>IF(E38="","",SUMIF(dim_lignes_achat!$L:$L,E38,dim_lignes_achat!$F:$F))</f>
        <v>5</v>
      </c>
      <c r="G38">
        <f>IF(E38="","",SUMIF(dim_lignes_vente!$I:$I,E38,dim_lignes_vente!$D:$D))</f>
        <v>1</v>
      </c>
      <c r="H38">
        <f>IF(E38="","",SUMIF(dim_pertes!$J:$J,E38,dim_pertes!$E:$E))</f>
        <v>0</v>
      </c>
      <c r="I38">
        <f t="shared" si="0"/>
        <v>4</v>
      </c>
      <c r="J38">
        <v>0</v>
      </c>
      <c r="K38">
        <f t="shared" si="1"/>
        <v>-4</v>
      </c>
      <c r="L38" s="10">
        <f t="shared" si="2"/>
        <v>-300</v>
      </c>
      <c r="M38" s="10">
        <f>IFERROR(_xlfn.XLOOKUP(E38,dim_lignes_achat!$L:$L,dim_lignes_achat!$H:$H,"",0,-1),"")</f>
        <v>75</v>
      </c>
      <c r="N38" t="s">
        <v>408</v>
      </c>
      <c r="O38" t="s">
        <v>420</v>
      </c>
      <c r="P38" t="str">
        <f>IF(ISNUMBER(MATCH(E38,dim_produits!$C:$C,0)),"OK","MANQUANT")</f>
        <v>OK</v>
      </c>
      <c r="Q38" t="str">
        <f>IF(ISNUMBER(MATCH(E38,dim_lignes_achat!$L:$L,0)),"OK","MANQUANT")</f>
        <v>OK</v>
      </c>
    </row>
    <row r="39" spans="1:17">
      <c r="A39">
        <f t="shared" si="3"/>
        <v>38</v>
      </c>
      <c r="B39" s="8">
        <v>46204</v>
      </c>
      <c r="C39" s="8">
        <v>46204</v>
      </c>
      <c r="D39">
        <f>IFERROR(_xlfn.XLOOKUP(E39,dim_produits!$C:$C,dim_produits!$A:$A,""),"")</f>
        <v>40</v>
      </c>
      <c r="E39" t="s">
        <v>156</v>
      </c>
      <c r="F39">
        <f>IF(E39="","",SUMIF(dim_lignes_achat!$L:$L,E39,dim_lignes_achat!$F:$F))</f>
        <v>156</v>
      </c>
      <c r="G39">
        <f>IF(E39="","",SUMIF(dim_lignes_vente!$I:$I,E39,dim_lignes_vente!$D:$D))</f>
        <v>12</v>
      </c>
      <c r="H39">
        <f>IF(E39="","",SUMIF(dim_pertes!$J:$J,E39,dim_pertes!$E:$E))</f>
        <v>0</v>
      </c>
      <c r="I39">
        <f t="shared" si="0"/>
        <v>144</v>
      </c>
      <c r="J39">
        <v>146</v>
      </c>
      <c r="K39">
        <f t="shared" si="1"/>
        <v>2</v>
      </c>
      <c r="L39" s="10">
        <f t="shared" si="2"/>
        <v>70.512820512820511</v>
      </c>
      <c r="M39" s="10">
        <f>IFERROR(_xlfn.XLOOKUP(E39,dim_lignes_achat!$L:$L,dim_lignes_achat!$H:$H,"",0,-1),"")</f>
        <v>35.256410256410255</v>
      </c>
      <c r="N39" t="s">
        <v>408</v>
      </c>
      <c r="O39" t="s">
        <v>420</v>
      </c>
      <c r="P39" t="str">
        <f>IF(ISNUMBER(MATCH(E39,dim_produits!$C:$C,0)),"OK","MANQUANT")</f>
        <v>OK</v>
      </c>
      <c r="Q39" t="str">
        <f>IF(ISNUMBER(MATCH(E39,dim_lignes_achat!$L:$L,0)),"OK","MANQUANT")</f>
        <v>OK</v>
      </c>
    </row>
    <row r="40" spans="1:17">
      <c r="A40">
        <f t="shared" si="3"/>
        <v>39</v>
      </c>
      <c r="B40" s="8">
        <v>46204</v>
      </c>
      <c r="C40" s="8">
        <v>46204</v>
      </c>
      <c r="D40">
        <f>IFERROR(_xlfn.XLOOKUP(E40,dim_produits!$C:$C,dim_produits!$A:$A,""),"")</f>
        <v>41</v>
      </c>
      <c r="E40" t="s">
        <v>169</v>
      </c>
      <c r="F40">
        <f>IF(E40="","",SUMIF(dim_lignes_achat!$L:$L,E40,dim_lignes_achat!$F:$F))</f>
        <v>150</v>
      </c>
      <c r="G40">
        <f>IF(E40="","",SUMIF(dim_lignes_vente!$I:$I,E40,dim_lignes_vente!$D:$D))</f>
        <v>26</v>
      </c>
      <c r="H40">
        <f>IF(E40="","",SUMIF(dim_pertes!$J:$J,E40,dim_pertes!$E:$E))</f>
        <v>0</v>
      </c>
      <c r="I40">
        <f t="shared" si="0"/>
        <v>124</v>
      </c>
      <c r="J40">
        <v>130</v>
      </c>
      <c r="K40">
        <f t="shared" si="1"/>
        <v>6</v>
      </c>
      <c r="L40" s="10">
        <f t="shared" si="2"/>
        <v>224</v>
      </c>
      <c r="M40" s="10">
        <f>IFERROR(_xlfn.XLOOKUP(E40,dim_lignes_achat!$L:$L,dim_lignes_achat!$H:$H,"",0,-1),"")</f>
        <v>37.333333333333336</v>
      </c>
      <c r="N40" t="s">
        <v>408</v>
      </c>
      <c r="O40" t="s">
        <v>420</v>
      </c>
      <c r="P40" t="str">
        <f>IF(ISNUMBER(MATCH(E40,dim_produits!$C:$C,0)),"OK","MANQUANT")</f>
        <v>OK</v>
      </c>
      <c r="Q40" t="str">
        <f>IF(ISNUMBER(MATCH(E40,dim_lignes_achat!$L:$L,0)),"OK","MANQUANT")</f>
        <v>OK</v>
      </c>
    </row>
    <row r="41" spans="1:17">
      <c r="A41">
        <f t="shared" si="3"/>
        <v>40</v>
      </c>
      <c r="B41" s="8">
        <v>46204</v>
      </c>
      <c r="C41" s="8">
        <v>46204</v>
      </c>
      <c r="D41">
        <f>IFERROR(_xlfn.XLOOKUP(E41,dim_produits!$C:$C,dim_produits!$A:$A,""),"")</f>
        <v>42</v>
      </c>
      <c r="E41" t="s">
        <v>247</v>
      </c>
      <c r="F41">
        <f>IF(E41="","",SUMIF(dim_lignes_achat!$L:$L,E41,dim_lignes_achat!$F:$F))</f>
        <v>6</v>
      </c>
      <c r="G41">
        <f>IF(E41="","",SUMIF(dim_lignes_vente!$I:$I,E41,dim_lignes_vente!$D:$D))</f>
        <v>0</v>
      </c>
      <c r="H41">
        <f>IF(E41="","",SUMIF(dim_pertes!$J:$J,E41,dim_pertes!$E:$E))</f>
        <v>6</v>
      </c>
      <c r="I41">
        <f t="shared" si="0"/>
        <v>0</v>
      </c>
      <c r="J41">
        <v>0</v>
      </c>
      <c r="K41">
        <f t="shared" si="1"/>
        <v>0</v>
      </c>
      <c r="L41" s="10">
        <f t="shared" si="2"/>
        <v>0</v>
      </c>
      <c r="M41" s="10">
        <f>IFERROR(_xlfn.XLOOKUP(E41,dim_lignes_achat!$L:$L,dim_lignes_achat!$H:$H,"",0,-1),"")</f>
        <v>450</v>
      </c>
      <c r="N41" t="s">
        <v>408</v>
      </c>
      <c r="O41" t="s">
        <v>420</v>
      </c>
      <c r="P41" t="str">
        <f>IF(ISNUMBER(MATCH(E41,dim_produits!$C:$C,0)),"OK","MANQUANT")</f>
        <v>OK</v>
      </c>
      <c r="Q41" t="str">
        <f>IF(ISNUMBER(MATCH(E41,dim_lignes_achat!$L:$L,0)),"OK","MANQUANT")</f>
        <v>OK</v>
      </c>
    </row>
    <row r="42" spans="1:17">
      <c r="A42">
        <f t="shared" si="3"/>
        <v>41</v>
      </c>
      <c r="B42" s="8">
        <v>46204</v>
      </c>
      <c r="C42" s="8">
        <v>46204</v>
      </c>
      <c r="D42">
        <f>IFERROR(_xlfn.XLOOKUP(E42,dim_produits!$C:$C,dim_produits!$A:$A,""),"")</f>
        <v>43</v>
      </c>
      <c r="E42" t="s">
        <v>171</v>
      </c>
      <c r="F42">
        <f>IF(E42="","",SUMIF(dim_lignes_achat!$L:$L,E42,dim_lignes_achat!$F:$F))</f>
        <v>12</v>
      </c>
      <c r="G42">
        <f>IF(E42="","",SUMIF(dim_lignes_vente!$I:$I,E42,dim_lignes_vente!$D:$D))</f>
        <v>1</v>
      </c>
      <c r="H42">
        <f>IF(E42="","",SUMIF(dim_pertes!$J:$J,E42,dim_pertes!$E:$E))</f>
        <v>0</v>
      </c>
      <c r="I42">
        <f t="shared" si="0"/>
        <v>11</v>
      </c>
      <c r="J42">
        <v>10</v>
      </c>
      <c r="K42">
        <f t="shared" si="1"/>
        <v>-1</v>
      </c>
      <c r="L42" s="10">
        <f t="shared" si="2"/>
        <v>-625</v>
      </c>
      <c r="M42" s="10">
        <f>IFERROR(_xlfn.XLOOKUP(E42,dim_lignes_achat!$L:$L,dim_lignes_achat!$H:$H,"",0,-1),"")</f>
        <v>625</v>
      </c>
      <c r="N42" t="s">
        <v>408</v>
      </c>
      <c r="O42" t="s">
        <v>420</v>
      </c>
      <c r="P42" t="str">
        <f>IF(ISNUMBER(MATCH(E42,dim_produits!$C:$C,0)),"OK","MANQUANT")</f>
        <v>OK</v>
      </c>
      <c r="Q42" t="str">
        <f>IF(ISNUMBER(MATCH(E42,dim_lignes_achat!$L:$L,0)),"OK","MANQUANT")</f>
        <v>OK</v>
      </c>
    </row>
    <row r="43" spans="1:17">
      <c r="A43">
        <f t="shared" si="3"/>
        <v>42</v>
      </c>
      <c r="B43" s="8">
        <v>46204</v>
      </c>
      <c r="C43" s="8">
        <v>46204</v>
      </c>
      <c r="D43">
        <f>IFERROR(_xlfn.XLOOKUP(E43,dim_produits!$C:$C,dim_produits!$A:$A,""),"")</f>
        <v>44</v>
      </c>
      <c r="E43" t="s">
        <v>162</v>
      </c>
      <c r="F43">
        <f>IF(E43="","",SUMIF(dim_lignes_achat!$L:$L,E43,dim_lignes_achat!$F:$F))</f>
        <v>150</v>
      </c>
      <c r="G43">
        <f>IF(E43="","",SUMIF(dim_lignes_vente!$I:$I,E43,dim_lignes_vente!$D:$D))</f>
        <v>4</v>
      </c>
      <c r="H43">
        <f>IF(E43="","",SUMIF(dim_pertes!$J:$J,E43,dim_pertes!$E:$E))</f>
        <v>0</v>
      </c>
      <c r="I43">
        <f t="shared" si="0"/>
        <v>146</v>
      </c>
      <c r="J43">
        <v>145</v>
      </c>
      <c r="K43">
        <f t="shared" si="1"/>
        <v>-1</v>
      </c>
      <c r="L43" s="10">
        <f t="shared" si="2"/>
        <v>-56.666666666666664</v>
      </c>
      <c r="M43" s="10">
        <f>IFERROR(_xlfn.XLOOKUP(E43,dim_lignes_achat!$L:$L,dim_lignes_achat!$H:$H,"",0,-1),"")</f>
        <v>56.666666666666664</v>
      </c>
      <c r="N43" t="s">
        <v>408</v>
      </c>
      <c r="O43" t="s">
        <v>420</v>
      </c>
      <c r="P43" t="str">
        <f>IF(ISNUMBER(MATCH(E43,dim_produits!$C:$C,0)),"OK","MANQUANT")</f>
        <v>OK</v>
      </c>
      <c r="Q43" t="str">
        <f>IF(ISNUMBER(MATCH(E43,dim_lignes_achat!$L:$L,0)),"OK","MANQUANT")</f>
        <v>OK</v>
      </c>
    </row>
    <row r="44" spans="1:17">
      <c r="A44">
        <f t="shared" si="3"/>
        <v>43</v>
      </c>
      <c r="B44" s="8">
        <v>46204</v>
      </c>
      <c r="C44" s="8">
        <v>46204</v>
      </c>
      <c r="D44">
        <f>IFERROR(_xlfn.XLOOKUP(E44,dim_produits!$C:$C,dim_produits!$A:$A,""),"")</f>
        <v>45</v>
      </c>
      <c r="E44" t="s">
        <v>164</v>
      </c>
      <c r="F44">
        <f>IF(E44="","",SUMIF(dim_lignes_achat!$L:$L,E44,dim_lignes_achat!$F:$F))</f>
        <v>300</v>
      </c>
      <c r="G44">
        <f>IF(E44="","",SUMIF(dim_lignes_vente!$I:$I,E44,dim_lignes_vente!$D:$D))</f>
        <v>16</v>
      </c>
      <c r="H44">
        <f>IF(E44="","",SUMIF(dim_pertes!$J:$J,E44,dim_pertes!$E:$E))</f>
        <v>0</v>
      </c>
      <c r="I44">
        <f t="shared" si="0"/>
        <v>284</v>
      </c>
      <c r="J44">
        <v>278</v>
      </c>
      <c r="K44">
        <f t="shared" si="1"/>
        <v>-6</v>
      </c>
      <c r="L44" s="10">
        <f t="shared" si="2"/>
        <v>-144</v>
      </c>
      <c r="M44" s="10">
        <f>IFERROR(_xlfn.XLOOKUP(E44,dim_lignes_achat!$L:$L,dim_lignes_achat!$H:$H,"",0,-1),"")</f>
        <v>24</v>
      </c>
      <c r="N44" t="s">
        <v>408</v>
      </c>
      <c r="O44" t="s">
        <v>420</v>
      </c>
      <c r="P44" t="str">
        <f>IF(ISNUMBER(MATCH(E44,dim_produits!$C:$C,0)),"OK","MANQUANT")</f>
        <v>OK</v>
      </c>
      <c r="Q44" t="str">
        <f>IF(ISNUMBER(MATCH(E44,dim_lignes_achat!$L:$L,0)),"OK","MANQUANT")</f>
        <v>OK</v>
      </c>
    </row>
    <row r="45" spans="1:17">
      <c r="A45">
        <f t="shared" si="3"/>
        <v>44</v>
      </c>
      <c r="B45" s="8">
        <v>46204</v>
      </c>
      <c r="C45" s="8">
        <v>46204</v>
      </c>
      <c r="D45">
        <f>IFERROR(_xlfn.XLOOKUP(E45,dim_produits!$C:$C,dim_produits!$A:$A,""),"")</f>
        <v>46</v>
      </c>
      <c r="E45" t="s">
        <v>175</v>
      </c>
      <c r="F45">
        <f>IF(E45="","",SUMIF(dim_lignes_achat!$L:$L,E45,dim_lignes_achat!$F:$F))</f>
        <v>15</v>
      </c>
      <c r="G45">
        <f>IF(E45="","",SUMIF(dim_lignes_vente!$I:$I,E45,dim_lignes_vente!$D:$D))</f>
        <v>1</v>
      </c>
      <c r="H45">
        <f>IF(E45="","",SUMIF(dim_pertes!$J:$J,E45,dim_pertes!$E:$E))</f>
        <v>0</v>
      </c>
      <c r="I45">
        <f t="shared" si="0"/>
        <v>14</v>
      </c>
      <c r="J45">
        <v>14</v>
      </c>
      <c r="K45">
        <f t="shared" si="1"/>
        <v>0</v>
      </c>
      <c r="L45" s="10">
        <f t="shared" si="2"/>
        <v>0</v>
      </c>
      <c r="M45" s="10">
        <f>IFERROR(_xlfn.XLOOKUP(E45,dim_lignes_achat!$L:$L,dim_lignes_achat!$H:$H,"",0,-1),"")</f>
        <v>1400</v>
      </c>
      <c r="N45" t="s">
        <v>408</v>
      </c>
      <c r="O45" t="s">
        <v>420</v>
      </c>
      <c r="P45" t="str">
        <f>IF(ISNUMBER(MATCH(E45,dim_produits!$C:$C,0)),"OK","MANQUANT")</f>
        <v>OK</v>
      </c>
      <c r="Q45" t="str">
        <f>IF(ISNUMBER(MATCH(E45,dim_lignes_achat!$L:$L,0)),"OK","MANQUANT")</f>
        <v>OK</v>
      </c>
    </row>
    <row r="46" spans="1:17">
      <c r="A46">
        <f t="shared" si="3"/>
        <v>45</v>
      </c>
      <c r="B46" s="8">
        <v>46204</v>
      </c>
      <c r="C46" s="8">
        <v>46204</v>
      </c>
      <c r="D46">
        <f>IFERROR(_xlfn.XLOOKUP(E46,dim_produits!$C:$C,dim_produits!$A:$A,""),"")</f>
        <v>47</v>
      </c>
      <c r="E46" t="s">
        <v>249</v>
      </c>
      <c r="F46">
        <f>IF(E46="","",SUMIF(dim_lignes_achat!$L:$L,E46,dim_lignes_achat!$F:$F))</f>
        <v>13</v>
      </c>
      <c r="G46">
        <f>IF(E46="","",SUMIF(dim_lignes_vente!$I:$I,E46,dim_lignes_vente!$D:$D))</f>
        <v>0</v>
      </c>
      <c r="H46">
        <f>IF(E46="","",SUMIF(dim_pertes!$J:$J,E46,dim_pertes!$E:$E))</f>
        <v>13</v>
      </c>
      <c r="I46">
        <f t="shared" si="0"/>
        <v>0</v>
      </c>
      <c r="J46">
        <v>0</v>
      </c>
      <c r="K46">
        <f t="shared" si="1"/>
        <v>0</v>
      </c>
      <c r="L46" s="10">
        <f t="shared" si="2"/>
        <v>0</v>
      </c>
      <c r="M46" s="10">
        <f>IFERROR(_xlfn.XLOOKUP(E46,dim_lignes_achat!$L:$L,dim_lignes_achat!$H:$H,"",0,-1),"")</f>
        <v>90</v>
      </c>
      <c r="N46" t="s">
        <v>408</v>
      </c>
      <c r="O46" t="s">
        <v>420</v>
      </c>
      <c r="P46" t="str">
        <f>IF(ISNUMBER(MATCH(E46,dim_produits!$C:$C,0)),"OK","MANQUANT")</f>
        <v>OK</v>
      </c>
      <c r="Q46" t="str">
        <f>IF(ISNUMBER(MATCH(E46,dim_lignes_achat!$L:$L,0)),"OK","MANQUANT")</f>
        <v>OK</v>
      </c>
    </row>
    <row r="47" spans="1:17">
      <c r="A47">
        <f t="shared" si="3"/>
        <v>46</v>
      </c>
      <c r="B47" s="8">
        <v>46204</v>
      </c>
      <c r="C47" s="8">
        <v>46204</v>
      </c>
      <c r="D47">
        <f>IFERROR(_xlfn.XLOOKUP(E47,dim_produits!$C:$C,dim_produits!$A:$A,""),"")</f>
        <v>48</v>
      </c>
      <c r="E47" t="s">
        <v>250</v>
      </c>
      <c r="F47">
        <f>IF(E47="","",SUMIF(dim_lignes_achat!$L:$L,E47,dim_lignes_achat!$F:$F))</f>
        <v>9</v>
      </c>
      <c r="G47">
        <f>IF(E47="","",SUMIF(dim_lignes_vente!$I:$I,E47,dim_lignes_vente!$D:$D))</f>
        <v>0</v>
      </c>
      <c r="H47">
        <f>IF(E47="","",SUMIF(dim_pertes!$J:$J,E47,dim_pertes!$E:$E))</f>
        <v>0</v>
      </c>
      <c r="I47">
        <f t="shared" si="0"/>
        <v>9</v>
      </c>
      <c r="J47">
        <v>8</v>
      </c>
      <c r="K47">
        <f t="shared" si="1"/>
        <v>-1</v>
      </c>
      <c r="L47" s="10">
        <f t="shared" si="2"/>
        <v>-90</v>
      </c>
      <c r="M47" s="10">
        <f>IFERROR(_xlfn.XLOOKUP(E47,dim_lignes_achat!$L:$L,dim_lignes_achat!$H:$H,"",0,-1),"")</f>
        <v>90</v>
      </c>
      <c r="N47" t="s">
        <v>408</v>
      </c>
      <c r="O47" t="s">
        <v>420</v>
      </c>
      <c r="P47" t="str">
        <f>IF(ISNUMBER(MATCH(E47,dim_produits!$C:$C,0)),"OK","MANQUANT")</f>
        <v>OK</v>
      </c>
      <c r="Q47" t="str">
        <f>IF(ISNUMBER(MATCH(E47,dim_lignes_achat!$L:$L,0)),"OK","MANQUANT")</f>
        <v>OK</v>
      </c>
    </row>
    <row r="48" spans="1:17">
      <c r="A48">
        <f t="shared" si="3"/>
        <v>47</v>
      </c>
      <c r="B48" s="8">
        <v>46204</v>
      </c>
      <c r="C48" s="8">
        <v>46204</v>
      </c>
      <c r="D48">
        <f>IFERROR(_xlfn.XLOOKUP(E48,dim_produits!$C:$C,dim_produits!$A:$A,""),"")</f>
        <v>49</v>
      </c>
      <c r="E48" t="s">
        <v>251</v>
      </c>
      <c r="F48">
        <f>IF(E48="","",SUMIF(dim_lignes_achat!$L:$L,E48,dim_lignes_achat!$F:$F))</f>
        <v>3</v>
      </c>
      <c r="G48">
        <f>IF(E48="","",SUMIF(dim_lignes_vente!$I:$I,E48,dim_lignes_vente!$D:$D))</f>
        <v>0</v>
      </c>
      <c r="H48">
        <f>IF(E48="","",SUMIF(dim_pertes!$J:$J,E48,dim_pertes!$E:$E))</f>
        <v>3</v>
      </c>
      <c r="I48">
        <f t="shared" si="0"/>
        <v>0</v>
      </c>
      <c r="J48">
        <v>0</v>
      </c>
      <c r="K48">
        <f t="shared" si="1"/>
        <v>0</v>
      </c>
      <c r="L48" s="10">
        <f t="shared" si="2"/>
        <v>0</v>
      </c>
      <c r="M48" s="10">
        <f>IFERROR(_xlfn.XLOOKUP(E48,dim_lignes_achat!$L:$L,dim_lignes_achat!$H:$H,"",0,-1),"")</f>
        <v>180</v>
      </c>
      <c r="N48" t="s">
        <v>408</v>
      </c>
      <c r="O48" t="s">
        <v>420</v>
      </c>
      <c r="P48" t="str">
        <f>IF(ISNUMBER(MATCH(E48,dim_produits!$C:$C,0)),"OK","MANQUANT")</f>
        <v>OK</v>
      </c>
      <c r="Q48" t="str">
        <f>IF(ISNUMBER(MATCH(E48,dim_lignes_achat!$L:$L,0)),"OK","MANQUANT")</f>
        <v>OK</v>
      </c>
    </row>
    <row r="49" spans="1:17">
      <c r="A49">
        <f t="shared" si="3"/>
        <v>48</v>
      </c>
      <c r="B49" s="8">
        <v>46204</v>
      </c>
      <c r="C49" s="8">
        <v>46204</v>
      </c>
      <c r="D49">
        <f>IFERROR(_xlfn.XLOOKUP(E49,dim_produits!$C:$C,dim_produits!$A:$A,""),"")</f>
        <v>50</v>
      </c>
      <c r="E49" t="s">
        <v>248</v>
      </c>
      <c r="F49">
        <f>IF(E49="","",SUMIF(dim_lignes_achat!$L:$L,E49,dim_lignes_achat!$F:$F))</f>
        <v>38</v>
      </c>
      <c r="G49">
        <f>IF(E49="","",SUMIF(dim_lignes_vente!$I:$I,E49,dim_lignes_vente!$D:$D))</f>
        <v>0</v>
      </c>
      <c r="H49">
        <f>IF(E49="","",SUMIF(dim_pertes!$J:$J,E49,dim_pertes!$E:$E))</f>
        <v>0</v>
      </c>
      <c r="I49">
        <f t="shared" si="0"/>
        <v>38</v>
      </c>
      <c r="J49">
        <v>32</v>
      </c>
      <c r="K49">
        <f t="shared" si="1"/>
        <v>-6</v>
      </c>
      <c r="L49" s="10">
        <f t="shared" si="2"/>
        <v>-270</v>
      </c>
      <c r="M49" s="10">
        <f>IFERROR(_xlfn.XLOOKUP(E49,dim_lignes_achat!$L:$L,dim_lignes_achat!$H:$H,"",0,-1),"")</f>
        <v>45</v>
      </c>
      <c r="N49" t="s">
        <v>408</v>
      </c>
      <c r="O49" t="s">
        <v>420</v>
      </c>
      <c r="P49" t="str">
        <f>IF(ISNUMBER(MATCH(E49,dim_produits!$C:$C,0)),"OK","MANQUANT")</f>
        <v>OK</v>
      </c>
      <c r="Q49" t="str">
        <f>IF(ISNUMBER(MATCH(E49,dim_lignes_achat!$L:$L,0)),"OK","MANQUANT")</f>
        <v>OK</v>
      </c>
    </row>
    <row r="50" spans="1:17">
      <c r="A50">
        <f t="shared" si="3"/>
        <v>49</v>
      </c>
      <c r="B50" s="8">
        <v>46204</v>
      </c>
      <c r="C50" s="8">
        <v>46204</v>
      </c>
      <c r="D50">
        <f>IFERROR(_xlfn.XLOOKUP(E50,dim_produits!$C:$C,dim_produits!$A:$A,""),"")</f>
        <v>51</v>
      </c>
      <c r="E50" t="s">
        <v>236</v>
      </c>
      <c r="F50">
        <f>IF(E50="","",SUMIF(dim_lignes_achat!$L:$L,E50,dim_lignes_achat!$F:$F))</f>
        <v>47</v>
      </c>
      <c r="G50">
        <f>IF(E50="","",SUMIF(dim_lignes_vente!$I:$I,E50,dim_lignes_vente!$D:$D))</f>
        <v>10</v>
      </c>
      <c r="H50">
        <f>IF(E50="","",SUMIF(dim_pertes!$J:$J,E50,dim_pertes!$E:$E))</f>
        <v>0</v>
      </c>
      <c r="I50">
        <f t="shared" si="0"/>
        <v>37</v>
      </c>
      <c r="J50">
        <v>31</v>
      </c>
      <c r="K50">
        <f t="shared" si="1"/>
        <v>-6</v>
      </c>
      <c r="L50" s="10">
        <f t="shared" si="2"/>
        <v>-5950</v>
      </c>
      <c r="M50" s="10">
        <f>IFERROR(_xlfn.XLOOKUP(E50,dim_lignes_achat!$L:$L,dim_lignes_achat!$H:$H,"",0,-1),"")</f>
        <v>991.66666666666663</v>
      </c>
      <c r="N50" t="s">
        <v>408</v>
      </c>
      <c r="O50" t="s">
        <v>420</v>
      </c>
      <c r="P50" t="str">
        <f>IF(ISNUMBER(MATCH(E50,dim_produits!$C:$C,0)),"OK","MANQUANT")</f>
        <v>OK</v>
      </c>
      <c r="Q50" t="str">
        <f>IF(ISNUMBER(MATCH(E50,dim_lignes_achat!$L:$L,0)),"OK","MANQUANT")</f>
        <v>OK</v>
      </c>
    </row>
    <row r="51" spans="1:17">
      <c r="A51">
        <f t="shared" si="3"/>
        <v>50</v>
      </c>
      <c r="B51" s="8">
        <v>46204</v>
      </c>
      <c r="C51" s="8">
        <v>46204</v>
      </c>
      <c r="D51">
        <f>IFERROR(_xlfn.XLOOKUP(E51,dim_produits!$C:$C,dim_produits!$A:$A,""),"")</f>
        <v>52</v>
      </c>
      <c r="E51" t="s">
        <v>237</v>
      </c>
      <c r="F51">
        <f>IF(E51="","",SUMIF(dim_lignes_achat!$L:$L,E51,dim_lignes_achat!$F:$F))</f>
        <v>189</v>
      </c>
      <c r="G51">
        <f>IF(E51="","",SUMIF(dim_lignes_vente!$I:$I,E51,dim_lignes_vente!$D:$D))</f>
        <v>72</v>
      </c>
      <c r="H51">
        <f>IF(E51="","",SUMIF(dim_pertes!$J:$J,E51,dim_pertes!$E:$E))</f>
        <v>2</v>
      </c>
      <c r="I51">
        <f t="shared" si="0"/>
        <v>115</v>
      </c>
      <c r="J51">
        <v>108</v>
      </c>
      <c r="K51">
        <f t="shared" si="1"/>
        <v>-7</v>
      </c>
      <c r="L51" s="10">
        <f t="shared" si="2"/>
        <v>-3295.833333333333</v>
      </c>
      <c r="M51" s="10">
        <f>IFERROR(_xlfn.XLOOKUP(E51,dim_lignes_achat!$L:$L,dim_lignes_achat!$H:$H,"",0,-1),"")</f>
        <v>470.83333333333331</v>
      </c>
      <c r="N51" t="s">
        <v>408</v>
      </c>
      <c r="O51" t="s">
        <v>420</v>
      </c>
      <c r="P51" t="str">
        <f>IF(ISNUMBER(MATCH(E51,dim_produits!$C:$C,0)),"OK","MANQUANT")</f>
        <v>OK</v>
      </c>
      <c r="Q51" t="str">
        <f>IF(ISNUMBER(MATCH(E51,dim_lignes_achat!$L:$L,0)),"OK","MANQUANT")</f>
        <v>OK</v>
      </c>
    </row>
    <row r="52" spans="1:17">
      <c r="A52">
        <f t="shared" si="3"/>
        <v>51</v>
      </c>
      <c r="B52" s="8">
        <v>46204</v>
      </c>
      <c r="C52" s="8">
        <v>46204</v>
      </c>
      <c r="D52">
        <f>IFERROR(_xlfn.XLOOKUP(E52,dim_produits!$C:$C,dim_produits!$A:$A,""),"")</f>
        <v>53</v>
      </c>
      <c r="E52" t="s">
        <v>370</v>
      </c>
      <c r="F52">
        <f>IF(E52="","",SUMIF(dim_lignes_achat!$L:$L,E52,dim_lignes_achat!$F:$F))</f>
        <v>144</v>
      </c>
      <c r="G52">
        <f>IF(E52="","",SUMIF(dim_lignes_vente!$I:$I,E52,dim_lignes_vente!$D:$D))</f>
        <v>53</v>
      </c>
      <c r="H52">
        <f>IF(E52="","",SUMIF(dim_pertes!$J:$J,E52,dim_pertes!$E:$E))</f>
        <v>0</v>
      </c>
      <c r="I52">
        <f t="shared" si="0"/>
        <v>91</v>
      </c>
      <c r="J52">
        <v>97</v>
      </c>
      <c r="K52">
        <f t="shared" si="1"/>
        <v>6</v>
      </c>
      <c r="L52" s="10">
        <f t="shared" si="2"/>
        <v>3600</v>
      </c>
      <c r="M52" s="10">
        <f>IFERROR(_xlfn.XLOOKUP(E52,dim_lignes_achat!$L:$L,dim_lignes_achat!$H:$H,"",0,-1),"")</f>
        <v>600</v>
      </c>
      <c r="N52" t="s">
        <v>408</v>
      </c>
      <c r="O52" t="s">
        <v>420</v>
      </c>
      <c r="P52" t="str">
        <f>IF(ISNUMBER(MATCH(E52,dim_produits!$C:$C,0)),"OK","MANQUANT")</f>
        <v>OK</v>
      </c>
      <c r="Q52" t="str">
        <f>IF(ISNUMBER(MATCH(E52,dim_lignes_achat!$L:$L,0)),"OK","MANQUANT")</f>
        <v>OK</v>
      </c>
    </row>
    <row r="53" spans="1:17">
      <c r="A53">
        <f t="shared" si="3"/>
        <v>52</v>
      </c>
      <c r="B53" s="8">
        <v>46204</v>
      </c>
      <c r="C53" s="8">
        <v>46204</v>
      </c>
      <c r="D53">
        <f>IFERROR(_xlfn.XLOOKUP(E53,dim_produits!$C:$C,dim_produits!$A:$A,""),"")</f>
        <v>54</v>
      </c>
      <c r="E53" t="s">
        <v>235</v>
      </c>
      <c r="F53">
        <f>IF(E53="","",SUMIF(dim_lignes_achat!$L:$L,E53,dim_lignes_achat!$F:$F))</f>
        <v>240</v>
      </c>
      <c r="G53">
        <f>IF(E53="","",SUMIF(dim_lignes_vente!$I:$I,E53,dim_lignes_vente!$D:$D))</f>
        <v>111</v>
      </c>
      <c r="H53">
        <f>IF(E53="","",SUMIF(dim_pertes!$J:$J,E53,dim_pertes!$E:$E))</f>
        <v>0</v>
      </c>
      <c r="I53">
        <f t="shared" si="0"/>
        <v>129</v>
      </c>
      <c r="J53">
        <v>107</v>
      </c>
      <c r="K53">
        <f t="shared" si="1"/>
        <v>-22</v>
      </c>
      <c r="L53" s="10">
        <f t="shared" si="2"/>
        <v>-13108.333333333334</v>
      </c>
      <c r="M53" s="10">
        <f>IFERROR(_xlfn.XLOOKUP(E53,dim_lignes_achat!$L:$L,dim_lignes_achat!$H:$H,"",0,-1),"")</f>
        <v>595.83333333333337</v>
      </c>
      <c r="N53" t="s">
        <v>408</v>
      </c>
      <c r="O53" t="s">
        <v>420</v>
      </c>
      <c r="P53" t="str">
        <f>IF(ISNUMBER(MATCH(E53,dim_produits!$C:$C,0)),"OK","MANQUANT")</f>
        <v>OK</v>
      </c>
      <c r="Q53" t="str">
        <f>IF(ISNUMBER(MATCH(E53,dim_lignes_achat!$L:$L,0)),"OK","MANQUANT")</f>
        <v>OK</v>
      </c>
    </row>
    <row r="54" spans="1:17">
      <c r="A54">
        <f t="shared" si="3"/>
        <v>53</v>
      </c>
      <c r="B54" s="8">
        <v>46204</v>
      </c>
      <c r="C54" s="8">
        <v>46204</v>
      </c>
      <c r="D54">
        <f>IFERROR(_xlfn.XLOOKUP(E54,dim_produits!$C:$C,dim_produits!$A:$A,""),"")</f>
        <v>56</v>
      </c>
      <c r="E54" t="s">
        <v>238</v>
      </c>
      <c r="F54">
        <f>IF(E54="","",SUMIF(dim_lignes_achat!$L:$L,E54,dim_lignes_achat!$F:$F))</f>
        <v>69</v>
      </c>
      <c r="G54">
        <f>IF(E54="","",SUMIF(dim_lignes_vente!$I:$I,E54,dim_lignes_vente!$D:$D))</f>
        <v>64</v>
      </c>
      <c r="H54">
        <f>IF(E54="","",SUMIF(dim_pertes!$J:$J,E54,dim_pertes!$E:$E))</f>
        <v>0</v>
      </c>
      <c r="I54">
        <f t="shared" si="0"/>
        <v>5</v>
      </c>
      <c r="J54">
        <v>0</v>
      </c>
      <c r="K54">
        <f t="shared" si="1"/>
        <v>-5</v>
      </c>
      <c r="L54" s="10">
        <f t="shared" si="2"/>
        <v>-4333.333333333333</v>
      </c>
      <c r="M54" s="10">
        <f>IFERROR(_xlfn.XLOOKUP(E54,dim_lignes_achat!$L:$L,dim_lignes_achat!$H:$H,"",0,-1),"")</f>
        <v>866.66666666666663</v>
      </c>
      <c r="N54" t="s">
        <v>408</v>
      </c>
      <c r="O54" t="s">
        <v>420</v>
      </c>
      <c r="P54" t="str">
        <f>IF(ISNUMBER(MATCH(E54,dim_produits!$C:$C,0)),"OK","MANQUANT")</f>
        <v>OK</v>
      </c>
      <c r="Q54" t="str">
        <f>IF(ISNUMBER(MATCH(E54,dim_lignes_achat!$L:$L,0)),"OK","MANQUANT")</f>
        <v>OK</v>
      </c>
    </row>
    <row r="55" spans="1:17">
      <c r="A55">
        <f t="shared" si="3"/>
        <v>54</v>
      </c>
      <c r="B55" s="8">
        <v>46204</v>
      </c>
      <c r="C55" s="8">
        <v>46204</v>
      </c>
      <c r="D55">
        <f>IFERROR(_xlfn.XLOOKUP(E55,dim_produits!$C:$C,dim_produits!$A:$A,""),"")</f>
        <v>57</v>
      </c>
      <c r="E55" t="s">
        <v>218</v>
      </c>
      <c r="F55">
        <f>IF(E55="","",SUMIF(dim_lignes_achat!$L:$L,E55,dim_lignes_achat!$F:$F))</f>
        <v>60</v>
      </c>
      <c r="G55">
        <f>IF(E55="","",SUMIF(dim_lignes_vente!$I:$I,E55,dim_lignes_vente!$D:$D))</f>
        <v>0</v>
      </c>
      <c r="H55">
        <f>IF(E55="","",SUMIF(dim_pertes!$J:$J,E55,dim_pertes!$E:$E))</f>
        <v>0</v>
      </c>
      <c r="I55">
        <f t="shared" si="0"/>
        <v>60</v>
      </c>
      <c r="J55">
        <v>60</v>
      </c>
      <c r="K55">
        <f t="shared" si="1"/>
        <v>0</v>
      </c>
      <c r="L55" s="10">
        <f t="shared" si="2"/>
        <v>0</v>
      </c>
      <c r="M55" s="10">
        <f>IFERROR(_xlfn.XLOOKUP(E55,dim_lignes_achat!$L:$L,dim_lignes_achat!$H:$H,"",0,-1),"")</f>
        <v>291.66666666666669</v>
      </c>
      <c r="N55" t="s">
        <v>408</v>
      </c>
      <c r="O55" t="s">
        <v>420</v>
      </c>
      <c r="P55" t="str">
        <f>IF(ISNUMBER(MATCH(E55,dim_produits!$C:$C,0)),"OK","MANQUANT")</f>
        <v>OK</v>
      </c>
      <c r="Q55" t="str">
        <f>IF(ISNUMBER(MATCH(E55,dim_lignes_achat!$L:$L,0)),"OK","MANQUANT")</f>
        <v>OK</v>
      </c>
    </row>
    <row r="56" spans="1:17">
      <c r="A56">
        <f t="shared" si="3"/>
        <v>55</v>
      </c>
      <c r="B56" s="8">
        <v>46204</v>
      </c>
      <c r="C56" s="8">
        <v>46204</v>
      </c>
      <c r="D56">
        <f>IFERROR(_xlfn.XLOOKUP(E56,dim_produits!$C:$C,dim_produits!$A:$A,""),"")</f>
        <v>58</v>
      </c>
      <c r="E56" t="s">
        <v>219</v>
      </c>
      <c r="F56">
        <f>IF(E56="","",SUMIF(dim_lignes_achat!$L:$L,E56,dim_lignes_achat!$F:$F))</f>
        <v>60</v>
      </c>
      <c r="G56">
        <f>IF(E56="","",SUMIF(dim_lignes_vente!$I:$I,E56,dim_lignes_vente!$D:$D))</f>
        <v>2</v>
      </c>
      <c r="H56">
        <f>IF(E56="","",SUMIF(dim_pertes!$J:$J,E56,dim_pertes!$E:$E))</f>
        <v>0</v>
      </c>
      <c r="I56">
        <f t="shared" si="0"/>
        <v>58</v>
      </c>
      <c r="J56">
        <v>58</v>
      </c>
      <c r="K56">
        <f t="shared" si="1"/>
        <v>0</v>
      </c>
      <c r="L56" s="10">
        <f t="shared" si="2"/>
        <v>0</v>
      </c>
      <c r="M56" s="10">
        <f>IFERROR(_xlfn.XLOOKUP(E56,dim_lignes_achat!$L:$L,dim_lignes_achat!$H:$H,"",0,-1),"")</f>
        <v>333.33333333333331</v>
      </c>
      <c r="N56" t="s">
        <v>408</v>
      </c>
      <c r="O56" t="s">
        <v>420</v>
      </c>
      <c r="P56" t="str">
        <f>IF(ISNUMBER(MATCH(E56,dim_produits!$C:$C,0)),"OK","MANQUANT")</f>
        <v>OK</v>
      </c>
      <c r="Q56" t="str">
        <f>IF(ISNUMBER(MATCH(E56,dim_lignes_achat!$L:$L,0)),"OK","MANQUANT")</f>
        <v>OK</v>
      </c>
    </row>
    <row r="57" spans="1:17">
      <c r="A57">
        <f t="shared" si="3"/>
        <v>56</v>
      </c>
      <c r="B57" s="8">
        <v>46204</v>
      </c>
      <c r="C57" s="8">
        <v>46204</v>
      </c>
      <c r="D57">
        <f>IFERROR(_xlfn.XLOOKUP(E57,dim_produits!$C:$C,dim_produits!$A:$A,""),"")</f>
        <v>59</v>
      </c>
      <c r="E57" t="s">
        <v>170</v>
      </c>
      <c r="F57">
        <f>IF(E57="","",SUMIF(dim_lignes_achat!$L:$L,E57,dim_lignes_achat!$F:$F))</f>
        <v>6</v>
      </c>
      <c r="G57">
        <f>IF(E57="","",SUMIF(dim_lignes_vente!$I:$I,E57,dim_lignes_vente!$D:$D))</f>
        <v>0</v>
      </c>
      <c r="H57">
        <f>IF(E57="","",SUMIF(dim_pertes!$J:$J,E57,dim_pertes!$E:$E))</f>
        <v>0</v>
      </c>
      <c r="I57">
        <f t="shared" si="0"/>
        <v>6</v>
      </c>
      <c r="J57">
        <v>6</v>
      </c>
      <c r="K57">
        <f t="shared" si="1"/>
        <v>0</v>
      </c>
      <c r="L57" s="10">
        <f t="shared" si="2"/>
        <v>0</v>
      </c>
      <c r="M57" s="10">
        <f>IFERROR(_xlfn.XLOOKUP(E57,dim_lignes_achat!$L:$L,dim_lignes_achat!$H:$H,"",0,-1),"")</f>
        <v>833.33333333333337</v>
      </c>
      <c r="N57" t="s">
        <v>408</v>
      </c>
      <c r="O57" t="s">
        <v>420</v>
      </c>
      <c r="P57" t="str">
        <f>IF(ISNUMBER(MATCH(E57,dim_produits!$C:$C,0)),"OK","MANQUANT")</f>
        <v>OK</v>
      </c>
      <c r="Q57" t="str">
        <f>IF(ISNUMBER(MATCH(E57,dim_lignes_achat!$L:$L,0)),"OK","MANQUANT")</f>
        <v>OK</v>
      </c>
    </row>
    <row r="58" spans="1:17">
      <c r="A58">
        <f t="shared" si="3"/>
        <v>57</v>
      </c>
      <c r="B58" s="8">
        <v>46204</v>
      </c>
      <c r="C58" s="8">
        <v>46204</v>
      </c>
      <c r="D58">
        <f>IFERROR(_xlfn.XLOOKUP(E58,dim_produits!$C:$C,dim_produits!$A:$A,""),"")</f>
        <v>60</v>
      </c>
      <c r="E58" t="s">
        <v>154</v>
      </c>
      <c r="F58">
        <f>IF(E58="","",SUMIF(dim_lignes_achat!$L:$L,E58,dim_lignes_achat!$F:$F))</f>
        <v>6</v>
      </c>
      <c r="G58">
        <f>IF(E58="","",SUMIF(dim_lignes_vente!$I:$I,E58,dim_lignes_vente!$D:$D))</f>
        <v>0</v>
      </c>
      <c r="H58">
        <f>IF(E58="","",SUMIF(dim_pertes!$J:$J,E58,dim_pertes!$E:$E))</f>
        <v>0</v>
      </c>
      <c r="I58">
        <f t="shared" si="0"/>
        <v>6</v>
      </c>
      <c r="J58">
        <v>6</v>
      </c>
      <c r="K58">
        <f t="shared" si="1"/>
        <v>0</v>
      </c>
      <c r="L58" s="10">
        <f t="shared" si="2"/>
        <v>0</v>
      </c>
      <c r="M58" s="10">
        <f>IFERROR(_xlfn.XLOOKUP(E58,dim_lignes_achat!$L:$L,dim_lignes_achat!$H:$H,"",0,-1),"")</f>
        <v>250</v>
      </c>
      <c r="N58" t="s">
        <v>408</v>
      </c>
      <c r="O58" t="s">
        <v>420</v>
      </c>
      <c r="P58" t="str">
        <f>IF(ISNUMBER(MATCH(E58,dim_produits!$C:$C,0)),"OK","MANQUANT")</f>
        <v>OK</v>
      </c>
      <c r="Q58" t="str">
        <f>IF(ISNUMBER(MATCH(E58,dim_lignes_achat!$L:$L,0)),"OK","MANQUANT")</f>
        <v>OK</v>
      </c>
    </row>
    <row r="59" spans="1:17">
      <c r="A59">
        <f t="shared" si="3"/>
        <v>58</v>
      </c>
      <c r="B59" s="8">
        <v>46204</v>
      </c>
      <c r="C59" s="8">
        <v>46204</v>
      </c>
      <c r="D59">
        <f>IFERROR(_xlfn.XLOOKUP(E59,dim_produits!$C:$C,dim_produits!$A:$A,""),"")</f>
        <v>61</v>
      </c>
      <c r="E59" t="s">
        <v>155</v>
      </c>
      <c r="F59">
        <f>IF(E59="","",SUMIF(dim_lignes_achat!$L:$L,E59,dim_lignes_achat!$F:$F))</f>
        <v>6</v>
      </c>
      <c r="G59">
        <f>IF(E59="","",SUMIF(dim_lignes_vente!$I:$I,E59,dim_lignes_vente!$D:$D))</f>
        <v>0</v>
      </c>
      <c r="H59">
        <f>IF(E59="","",SUMIF(dim_pertes!$J:$J,E59,dim_pertes!$E:$E))</f>
        <v>0</v>
      </c>
      <c r="I59">
        <f t="shared" si="0"/>
        <v>6</v>
      </c>
      <c r="J59">
        <v>6</v>
      </c>
      <c r="K59">
        <f t="shared" si="1"/>
        <v>0</v>
      </c>
      <c r="L59" s="10">
        <f t="shared" si="2"/>
        <v>0</v>
      </c>
      <c r="M59" s="10">
        <f>IFERROR(_xlfn.XLOOKUP(E59,dim_lignes_achat!$L:$L,dim_lignes_achat!$H:$H,"",0,-1),"")</f>
        <v>583.33333333333337</v>
      </c>
      <c r="N59" t="s">
        <v>408</v>
      </c>
      <c r="O59" t="s">
        <v>420</v>
      </c>
      <c r="P59" t="str">
        <f>IF(ISNUMBER(MATCH(E59,dim_produits!$C:$C,0)),"OK","MANQUANT")</f>
        <v>OK</v>
      </c>
      <c r="Q59" t="str">
        <f>IF(ISNUMBER(MATCH(E59,dim_lignes_achat!$L:$L,0)),"OK","MANQUANT")</f>
        <v>OK</v>
      </c>
    </row>
    <row r="60" spans="1:17">
      <c r="A60">
        <f t="shared" si="3"/>
        <v>59</v>
      </c>
      <c r="B60" s="8">
        <v>46204</v>
      </c>
      <c r="C60" s="8">
        <v>46204</v>
      </c>
      <c r="D60">
        <f>IFERROR(_xlfn.XLOOKUP(E60,dim_produits!$C:$C,dim_produits!$A:$A,""),"")</f>
        <v>62</v>
      </c>
      <c r="E60" t="s">
        <v>157</v>
      </c>
      <c r="F60">
        <f>IF(E60="","",SUMIF(dim_lignes_achat!$L:$L,E60,dim_lignes_achat!$F:$F))</f>
        <v>12</v>
      </c>
      <c r="G60">
        <f>IF(E60="","",SUMIF(dim_lignes_vente!$I:$I,E60,dim_lignes_vente!$D:$D))</f>
        <v>1</v>
      </c>
      <c r="H60">
        <f>IF(E60="","",SUMIF(dim_pertes!$J:$J,E60,dim_pertes!$E:$E))</f>
        <v>0</v>
      </c>
      <c r="I60">
        <f t="shared" si="0"/>
        <v>11</v>
      </c>
      <c r="J60">
        <v>11</v>
      </c>
      <c r="K60">
        <f t="shared" si="1"/>
        <v>0</v>
      </c>
      <c r="L60" s="10">
        <f t="shared" si="2"/>
        <v>0</v>
      </c>
      <c r="M60" s="10">
        <f>IFERROR(_xlfn.XLOOKUP(E60,dim_lignes_achat!$L:$L,dim_lignes_achat!$H:$H,"",0,-1),"")</f>
        <v>191.66666666666666</v>
      </c>
      <c r="N60" t="s">
        <v>408</v>
      </c>
      <c r="O60" t="s">
        <v>420</v>
      </c>
      <c r="P60" t="str">
        <f>IF(ISNUMBER(MATCH(E60,dim_produits!$C:$C,0)),"OK","MANQUANT")</f>
        <v>OK</v>
      </c>
      <c r="Q60" t="str">
        <f>IF(ISNUMBER(MATCH(E60,dim_lignes_achat!$L:$L,0)),"OK","MANQUANT")</f>
        <v>OK</v>
      </c>
    </row>
    <row r="61" spans="1:17">
      <c r="A61">
        <f t="shared" si="3"/>
        <v>60</v>
      </c>
      <c r="B61" s="8">
        <v>46204</v>
      </c>
      <c r="C61" s="8">
        <v>46204</v>
      </c>
      <c r="D61">
        <f>IFERROR(_xlfn.XLOOKUP(E61,dim_produits!$C:$C,dim_produits!$A:$A,""),"")</f>
        <v>63</v>
      </c>
      <c r="E61" t="s">
        <v>161</v>
      </c>
      <c r="F61">
        <f>IF(E61="","",SUMIF(dim_lignes_achat!$L:$L,E61,dim_lignes_achat!$F:$F))</f>
        <v>12</v>
      </c>
      <c r="G61">
        <f>IF(E61="","",SUMIF(dim_lignes_vente!$I:$I,E61,dim_lignes_vente!$D:$D))</f>
        <v>2</v>
      </c>
      <c r="H61">
        <f>IF(E61="","",SUMIF(dim_pertes!$J:$J,E61,dim_pertes!$E:$E))</f>
        <v>0</v>
      </c>
      <c r="I61">
        <f t="shared" si="0"/>
        <v>10</v>
      </c>
      <c r="J61">
        <v>9</v>
      </c>
      <c r="K61">
        <f t="shared" si="1"/>
        <v>-1</v>
      </c>
      <c r="L61" s="10">
        <f t="shared" si="2"/>
        <v>-70.833333333333329</v>
      </c>
      <c r="M61" s="10">
        <f>IFERROR(_xlfn.XLOOKUP(E61,dim_lignes_achat!$L:$L,dim_lignes_achat!$H:$H,"",0,-1),"")</f>
        <v>70.833333333333329</v>
      </c>
      <c r="N61" t="s">
        <v>408</v>
      </c>
      <c r="O61" t="s">
        <v>420</v>
      </c>
      <c r="P61" t="str">
        <f>IF(ISNUMBER(MATCH(E61,dim_produits!$C:$C,0)),"OK","MANQUANT")</f>
        <v>OK</v>
      </c>
      <c r="Q61" t="str">
        <f>IF(ISNUMBER(MATCH(E61,dim_lignes_achat!$L:$L,0)),"OK","MANQUANT")</f>
        <v>OK</v>
      </c>
    </row>
    <row r="62" spans="1:17">
      <c r="A62">
        <f t="shared" si="3"/>
        <v>61</v>
      </c>
      <c r="B62" s="8">
        <v>46204</v>
      </c>
      <c r="C62" s="8">
        <v>46204</v>
      </c>
      <c r="D62">
        <f>IFERROR(_xlfn.XLOOKUP(E62,dim_produits!$C:$C,dim_produits!$A:$A,""),"")</f>
        <v>64</v>
      </c>
      <c r="E62" t="s">
        <v>167</v>
      </c>
      <c r="F62">
        <f>IF(E62="","",SUMIF(dim_lignes_achat!$L:$L,E62,dim_lignes_achat!$F:$F))</f>
        <v>48</v>
      </c>
      <c r="G62">
        <f>IF(E62="","",SUMIF(dim_lignes_vente!$I:$I,E62,dim_lignes_vente!$D:$D))</f>
        <v>2</v>
      </c>
      <c r="H62">
        <f>IF(E62="","",SUMIF(dim_pertes!$J:$J,E62,dim_pertes!$E:$E))</f>
        <v>0</v>
      </c>
      <c r="I62">
        <f t="shared" si="0"/>
        <v>46</v>
      </c>
      <c r="J62">
        <v>46</v>
      </c>
      <c r="K62">
        <f t="shared" si="1"/>
        <v>0</v>
      </c>
      <c r="L62" s="10">
        <f t="shared" si="2"/>
        <v>0</v>
      </c>
      <c r="M62" s="10">
        <f>IFERROR(_xlfn.XLOOKUP(E62,dim_lignes_achat!$L:$L,dim_lignes_achat!$H:$H,"",0,-1),"")</f>
        <v>239.58333333333334</v>
      </c>
      <c r="N62" t="s">
        <v>408</v>
      </c>
      <c r="O62" t="s">
        <v>420</v>
      </c>
      <c r="P62" t="str">
        <f>IF(ISNUMBER(MATCH(E62,dim_produits!$C:$C,0)),"OK","MANQUANT")</f>
        <v>OK</v>
      </c>
      <c r="Q62" t="str">
        <f>IF(ISNUMBER(MATCH(E62,dim_lignes_achat!$L:$L,0)),"OK","MANQUANT")</f>
        <v>OK</v>
      </c>
    </row>
    <row r="63" spans="1:17">
      <c r="A63">
        <f t="shared" ref="A63:A104" si="4">A62+1</f>
        <v>62</v>
      </c>
      <c r="B63" s="8">
        <v>46204</v>
      </c>
      <c r="C63" s="8">
        <v>46204</v>
      </c>
      <c r="D63">
        <f>IFERROR(_xlfn.XLOOKUP(E63,dim_produits!$C:$C,dim_produits!$A:$A,""),"")</f>
        <v>65</v>
      </c>
      <c r="E63" t="s">
        <v>240</v>
      </c>
      <c r="F63">
        <f>IF(E63="","",SUMIF(dim_lignes_achat!$L:$L,E63,dim_lignes_achat!$F:$F))</f>
        <v>2</v>
      </c>
      <c r="G63">
        <f>IF(E63="","",SUMIF(dim_lignes_vente!$I:$I,E63,dim_lignes_vente!$D:$D))</f>
        <v>0</v>
      </c>
      <c r="H63">
        <f>IF(E63="","",SUMIF(dim_pertes!$J:$J,E63,dim_pertes!$E:$E))</f>
        <v>0</v>
      </c>
      <c r="I63">
        <f t="shared" si="0"/>
        <v>2</v>
      </c>
      <c r="J63">
        <v>2</v>
      </c>
      <c r="K63">
        <f t="shared" si="1"/>
        <v>0</v>
      </c>
      <c r="L63" s="10">
        <f t="shared" si="2"/>
        <v>0</v>
      </c>
      <c r="M63" s="10">
        <f>IFERROR(_xlfn.XLOOKUP(E63,dim_lignes_achat!$L:$L,dim_lignes_achat!$H:$H,"",0,-1),"")</f>
        <v>450</v>
      </c>
      <c r="N63" t="s">
        <v>408</v>
      </c>
      <c r="O63" t="s">
        <v>420</v>
      </c>
      <c r="P63" t="str">
        <f>IF(ISNUMBER(MATCH(E63,dim_produits!$C:$C,0)),"OK","MANQUANT")</f>
        <v>OK</v>
      </c>
      <c r="Q63" t="str">
        <f>IF(ISNUMBER(MATCH(E63,dim_lignes_achat!$L:$L,0)),"OK","MANQUANT")</f>
        <v>OK</v>
      </c>
    </row>
    <row r="64" spans="1:17">
      <c r="A64">
        <f t="shared" si="4"/>
        <v>63</v>
      </c>
      <c r="B64" s="8">
        <v>46204</v>
      </c>
      <c r="C64" s="8">
        <v>46204</v>
      </c>
      <c r="D64">
        <f>IFERROR(_xlfn.XLOOKUP(E64,dim_produits!$C:$C,dim_produits!$A:$A,""),"")</f>
        <v>66</v>
      </c>
      <c r="E64" t="s">
        <v>262</v>
      </c>
      <c r="F64">
        <f>IF(E64="","",SUMIF(dim_lignes_achat!$L:$L,E64,dim_lignes_achat!$F:$F))</f>
        <v>12</v>
      </c>
      <c r="G64">
        <f>IF(E64="","",SUMIF(dim_lignes_vente!$I:$I,E64,dim_lignes_vente!$D:$D))</f>
        <v>0</v>
      </c>
      <c r="H64">
        <f>IF(E64="","",SUMIF(dim_pertes!$J:$J,E64,dim_pertes!$E:$E))</f>
        <v>0</v>
      </c>
      <c r="I64">
        <f t="shared" si="0"/>
        <v>12</v>
      </c>
      <c r="J64">
        <v>12</v>
      </c>
      <c r="K64">
        <f t="shared" si="1"/>
        <v>0</v>
      </c>
      <c r="L64" s="10">
        <f t="shared" si="2"/>
        <v>0</v>
      </c>
      <c r="M64" s="10">
        <f>IFERROR(_xlfn.XLOOKUP(E64,dim_lignes_achat!$L:$L,dim_lignes_achat!$H:$H,"",0,-1),"")</f>
        <v>558.33333333333337</v>
      </c>
      <c r="N64" t="s">
        <v>408</v>
      </c>
      <c r="O64" t="s">
        <v>420</v>
      </c>
      <c r="P64" t="str">
        <f>IF(ISNUMBER(MATCH(E64,dim_produits!$C:$C,0)),"OK","MANQUANT")</f>
        <v>OK</v>
      </c>
      <c r="Q64" t="str">
        <f>IF(ISNUMBER(MATCH(E64,dim_lignes_achat!$L:$L,0)),"OK","MANQUANT")</f>
        <v>OK</v>
      </c>
    </row>
    <row r="65" spans="1:17">
      <c r="A65">
        <f t="shared" si="4"/>
        <v>64</v>
      </c>
      <c r="B65" s="8">
        <v>46204</v>
      </c>
      <c r="C65" s="8">
        <v>46204</v>
      </c>
      <c r="D65">
        <f>IFERROR(_xlfn.XLOOKUP(E65,dim_produits!$C:$C,dim_produits!$A:$A,""),"")</f>
        <v>67</v>
      </c>
      <c r="E65" t="s">
        <v>264</v>
      </c>
      <c r="F65">
        <f>IF(E65="","",SUMIF(dim_lignes_achat!$L:$L,E65,dim_lignes_achat!$F:$F))</f>
        <v>6</v>
      </c>
      <c r="G65">
        <f>IF(E65="","",SUMIF(dim_lignes_vente!$I:$I,E65,dim_lignes_vente!$D:$D))</f>
        <v>0</v>
      </c>
      <c r="H65">
        <f>IF(E65="","",SUMIF(dim_pertes!$J:$J,E65,dim_pertes!$E:$E))</f>
        <v>0</v>
      </c>
      <c r="I65">
        <f t="shared" ref="I65:I104" si="5">IF(E65="","",N(F65)-N(G65)-N(H65))</f>
        <v>6</v>
      </c>
      <c r="J65">
        <v>6</v>
      </c>
      <c r="K65">
        <f t="shared" ref="K65:K104" si="6">IF(E65="","",N(J65)-N(I65))</f>
        <v>0</v>
      </c>
      <c r="L65" s="10">
        <f t="shared" ref="L65:L104" si="7">IF(E65="","",K65*M65)</f>
        <v>0</v>
      </c>
      <c r="M65" s="10">
        <f>IFERROR(_xlfn.XLOOKUP(E65,dim_lignes_achat!$L:$L,dim_lignes_achat!$H:$H,"",0,-1),"")</f>
        <v>416.66666666666669</v>
      </c>
      <c r="N65" t="s">
        <v>408</v>
      </c>
      <c r="O65" t="s">
        <v>420</v>
      </c>
      <c r="P65" t="str">
        <f>IF(ISNUMBER(MATCH(E65,dim_produits!$C:$C,0)),"OK","MANQUANT")</f>
        <v>OK</v>
      </c>
      <c r="Q65" t="str">
        <f>IF(ISNUMBER(MATCH(E65,dim_lignes_achat!$L:$L,0)),"OK","MANQUANT")</f>
        <v>OK</v>
      </c>
    </row>
    <row r="66" spans="1:17">
      <c r="A66">
        <f t="shared" si="4"/>
        <v>65</v>
      </c>
      <c r="B66" s="8">
        <v>46204</v>
      </c>
      <c r="C66" s="8">
        <v>46204</v>
      </c>
      <c r="D66">
        <f>IFERROR(_xlfn.XLOOKUP(E66,dim_produits!$C:$C,dim_produits!$A:$A,""),"")</f>
        <v>68</v>
      </c>
      <c r="E66" t="s">
        <v>178</v>
      </c>
      <c r="F66">
        <f>IF(E66="","",SUMIF(dim_lignes_achat!$L:$L,E66,dim_lignes_achat!$F:$F))</f>
        <v>6</v>
      </c>
      <c r="G66">
        <f>IF(E66="","",SUMIF(dim_lignes_vente!$I:$I,E66,dim_lignes_vente!$D:$D))</f>
        <v>0</v>
      </c>
      <c r="H66">
        <f>IF(E66="","",SUMIF(dim_pertes!$J:$J,E66,dim_pertes!$E:$E))</f>
        <v>0</v>
      </c>
      <c r="I66">
        <f t="shared" si="5"/>
        <v>6</v>
      </c>
      <c r="J66">
        <v>6</v>
      </c>
      <c r="K66">
        <f t="shared" si="6"/>
        <v>0</v>
      </c>
      <c r="L66" s="10">
        <f t="shared" si="7"/>
        <v>0</v>
      </c>
      <c r="M66" s="10">
        <f>IFERROR(_xlfn.XLOOKUP(E66,dim_lignes_achat!$L:$L,dim_lignes_achat!$H:$H,"",0,-1),"")</f>
        <v>416.66666666666669</v>
      </c>
      <c r="N66" t="s">
        <v>408</v>
      </c>
      <c r="O66" t="s">
        <v>420</v>
      </c>
      <c r="P66" t="str">
        <f>IF(ISNUMBER(MATCH(E66,dim_produits!$C:$C,0)),"OK","MANQUANT")</f>
        <v>OK</v>
      </c>
      <c r="Q66" t="str">
        <f>IF(ISNUMBER(MATCH(E66,dim_lignes_achat!$L:$L,0)),"OK","MANQUANT")</f>
        <v>OK</v>
      </c>
    </row>
    <row r="67" spans="1:17">
      <c r="A67">
        <f t="shared" si="4"/>
        <v>66</v>
      </c>
      <c r="B67" s="8">
        <v>46204</v>
      </c>
      <c r="C67" s="8">
        <v>46204</v>
      </c>
      <c r="D67">
        <f>IFERROR(_xlfn.XLOOKUP(E67,dim_produits!$C:$C,dim_produits!$A:$A,""),"")</f>
        <v>69</v>
      </c>
      <c r="E67" t="s">
        <v>181</v>
      </c>
      <c r="F67">
        <f>IF(E67="","",SUMIF(dim_lignes_achat!$L:$L,E67,dim_lignes_achat!$F:$F))</f>
        <v>60</v>
      </c>
      <c r="G67">
        <f>IF(E67="","",SUMIF(dim_lignes_vente!$I:$I,E67,dim_lignes_vente!$D:$D))</f>
        <v>0</v>
      </c>
      <c r="H67">
        <f>IF(E67="","",SUMIF(dim_pertes!$J:$J,E67,dim_pertes!$E:$E))</f>
        <v>0</v>
      </c>
      <c r="I67">
        <f t="shared" si="5"/>
        <v>60</v>
      </c>
      <c r="J67">
        <v>60</v>
      </c>
      <c r="K67">
        <f t="shared" si="6"/>
        <v>0</v>
      </c>
      <c r="L67" s="10">
        <f t="shared" si="7"/>
        <v>0</v>
      </c>
      <c r="M67" s="10">
        <f>IFERROR(_xlfn.XLOOKUP(E67,dim_lignes_achat!$L:$L,dim_lignes_achat!$H:$H,"",0,-1),"")</f>
        <v>191.66666666666666</v>
      </c>
      <c r="N67" t="s">
        <v>408</v>
      </c>
      <c r="O67" t="s">
        <v>420</v>
      </c>
      <c r="P67" t="str">
        <f>IF(ISNUMBER(MATCH(E67,dim_produits!$C:$C,0)),"OK","MANQUANT")</f>
        <v>OK</v>
      </c>
      <c r="Q67" t="str">
        <f>IF(ISNUMBER(MATCH(E67,dim_lignes_achat!$L:$L,0)),"OK","MANQUANT")</f>
        <v>OK</v>
      </c>
    </row>
    <row r="68" spans="1:17">
      <c r="A68">
        <f t="shared" si="4"/>
        <v>67</v>
      </c>
      <c r="B68" s="8">
        <v>46204</v>
      </c>
      <c r="C68" s="8">
        <v>46204</v>
      </c>
      <c r="D68">
        <f>IFERROR(_xlfn.XLOOKUP(E68,dim_produits!$C:$C,dim_produits!$A:$A,""),"")</f>
        <v>70</v>
      </c>
      <c r="E68" t="s">
        <v>180</v>
      </c>
      <c r="F68">
        <f>IF(E68="","",SUMIF(dim_lignes_achat!$L:$L,E68,dim_lignes_achat!$F:$F))</f>
        <v>24</v>
      </c>
      <c r="G68">
        <f>IF(E68="","",SUMIF(dim_lignes_vente!$I:$I,E68,dim_lignes_vente!$D:$D))</f>
        <v>2</v>
      </c>
      <c r="H68">
        <f>IF(E68="","",SUMIF(dim_pertes!$J:$J,E68,dim_pertes!$E:$E))</f>
        <v>0</v>
      </c>
      <c r="I68">
        <f t="shared" si="5"/>
        <v>22</v>
      </c>
      <c r="J68">
        <v>22</v>
      </c>
      <c r="K68">
        <f t="shared" si="6"/>
        <v>0</v>
      </c>
      <c r="L68" s="10">
        <f t="shared" si="7"/>
        <v>0</v>
      </c>
      <c r="M68" s="10">
        <f>IFERROR(_xlfn.XLOOKUP(E68,dim_lignes_achat!$L:$L,dim_lignes_achat!$H:$H,"",0,-1),"")</f>
        <v>325</v>
      </c>
      <c r="N68" t="s">
        <v>408</v>
      </c>
      <c r="O68" t="s">
        <v>420</v>
      </c>
      <c r="P68" t="str">
        <f>IF(ISNUMBER(MATCH(E68,dim_produits!$C:$C,0)),"OK","MANQUANT")</f>
        <v>OK</v>
      </c>
      <c r="Q68" t="str">
        <f>IF(ISNUMBER(MATCH(E68,dim_lignes_achat!$L:$L,0)),"OK","MANQUANT")</f>
        <v>OK</v>
      </c>
    </row>
    <row r="69" spans="1:17">
      <c r="A69">
        <f t="shared" si="4"/>
        <v>68</v>
      </c>
      <c r="B69" s="8">
        <v>46204</v>
      </c>
      <c r="C69" s="8">
        <v>46204</v>
      </c>
      <c r="D69">
        <f>IFERROR(_xlfn.XLOOKUP(E69,dim_produits!$C:$C,dim_produits!$A:$A,""),"")</f>
        <v>71</v>
      </c>
      <c r="E69" t="s">
        <v>194</v>
      </c>
      <c r="F69">
        <f>IF(E69="","",SUMIF(dim_lignes_achat!$L:$L,E69,dim_lignes_achat!$F:$F))</f>
        <v>42</v>
      </c>
      <c r="G69">
        <f>IF(E69="","",SUMIF(dim_lignes_vente!$I:$I,E69,dim_lignes_vente!$D:$D))</f>
        <v>2</v>
      </c>
      <c r="H69">
        <f>IF(E69="","",SUMIF(dim_pertes!$J:$J,E69,dim_pertes!$E:$E))</f>
        <v>0</v>
      </c>
      <c r="I69">
        <f t="shared" si="5"/>
        <v>40</v>
      </c>
      <c r="J69">
        <v>37</v>
      </c>
      <c r="K69">
        <f t="shared" si="6"/>
        <v>-3</v>
      </c>
      <c r="L69" s="10">
        <f t="shared" si="7"/>
        <v>-1099.98</v>
      </c>
      <c r="M69" s="10">
        <f>IFERROR(_xlfn.XLOOKUP(E69,dim_lignes_achat!$L:$L,dim_lignes_achat!$H:$H,"",0,-1),"")</f>
        <v>366.66</v>
      </c>
      <c r="N69" t="s">
        <v>408</v>
      </c>
      <c r="O69" t="s">
        <v>420</v>
      </c>
      <c r="P69" t="str">
        <f>IF(ISNUMBER(MATCH(E69,dim_produits!$C:$C,0)),"OK","MANQUANT")</f>
        <v>OK</v>
      </c>
      <c r="Q69" t="str">
        <f>IF(ISNUMBER(MATCH(E69,dim_lignes_achat!$L:$L,0)),"OK","MANQUANT")</f>
        <v>OK</v>
      </c>
    </row>
    <row r="70" spans="1:17">
      <c r="A70">
        <f t="shared" si="4"/>
        <v>69</v>
      </c>
      <c r="B70" s="8">
        <v>46204</v>
      </c>
      <c r="C70" s="8">
        <v>46204</v>
      </c>
      <c r="D70">
        <f>IFERROR(_xlfn.XLOOKUP(E70,dim_produits!$C:$C,dim_produits!$A:$A,""),"")</f>
        <v>72</v>
      </c>
      <c r="E70" s="108" t="s">
        <v>195</v>
      </c>
      <c r="F70">
        <f>IF(E70="","",SUMIF(dim_lignes_achat!$L:$L,E70,dim_lignes_achat!$F:$F))</f>
        <v>49</v>
      </c>
      <c r="G70">
        <f>IF(E70="","",SUMIF(dim_lignes_vente!$I:$I,E70,dim_lignes_vente!$D:$D))</f>
        <v>30</v>
      </c>
      <c r="H70">
        <f>IF(E70="","",SUMIF(dim_pertes!$J:$J,E70,dim_pertes!$E:$E))</f>
        <v>0</v>
      </c>
      <c r="I70">
        <f t="shared" si="5"/>
        <v>19</v>
      </c>
      <c r="J70" s="108">
        <v>27</v>
      </c>
      <c r="K70">
        <f t="shared" si="6"/>
        <v>8</v>
      </c>
      <c r="L70" s="10">
        <f t="shared" si="7"/>
        <v>2933.28</v>
      </c>
      <c r="M70" s="10">
        <f>IFERROR(_xlfn.XLOOKUP(E70,dim_lignes_achat!$L:$L,dim_lignes_achat!$H:$H,"",0,-1),"")</f>
        <v>366.66</v>
      </c>
      <c r="N70" t="s">
        <v>408</v>
      </c>
      <c r="O70" t="s">
        <v>420</v>
      </c>
      <c r="P70" t="str">
        <f>IF(ISNUMBER(MATCH(E70,dim_produits!$C:$C,0)),"OK","MANQUANT")</f>
        <v>OK</v>
      </c>
      <c r="Q70" t="str">
        <f>IF(ISNUMBER(MATCH(E70,dim_lignes_achat!$L:$L,0)),"OK","MANQUANT")</f>
        <v>OK</v>
      </c>
    </row>
    <row r="71" spans="1:17">
      <c r="A71">
        <f t="shared" si="4"/>
        <v>70</v>
      </c>
      <c r="B71" s="8">
        <v>46204</v>
      </c>
      <c r="C71" s="8">
        <v>46204</v>
      </c>
      <c r="D71">
        <f>IFERROR(_xlfn.XLOOKUP(E71,dim_produits!$C:$C,dim_produits!$A:$A,""),"")</f>
        <v>73</v>
      </c>
      <c r="E71" t="s">
        <v>196</v>
      </c>
      <c r="F71">
        <f>IF(E71="","",SUMIF(dim_lignes_achat!$L:$L,E71,dim_lignes_achat!$F:$F))</f>
        <v>36</v>
      </c>
      <c r="G71">
        <f>IF(E71="","",SUMIF(dim_lignes_vente!$I:$I,E71,dim_lignes_vente!$D:$D))</f>
        <v>6</v>
      </c>
      <c r="H71">
        <f>IF(E71="","",SUMIF(dim_pertes!$J:$J,E71,dim_pertes!$E:$E))</f>
        <v>0</v>
      </c>
      <c r="I71">
        <f t="shared" si="5"/>
        <v>30</v>
      </c>
      <c r="J71">
        <v>22</v>
      </c>
      <c r="K71">
        <f t="shared" si="6"/>
        <v>-8</v>
      </c>
      <c r="L71" s="10">
        <f t="shared" si="7"/>
        <v>-2933.28</v>
      </c>
      <c r="M71" s="10">
        <f>IFERROR(_xlfn.XLOOKUP(E71,dim_lignes_achat!$L:$L,dim_lignes_achat!$H:$H,"",0,-1),"")</f>
        <v>366.66</v>
      </c>
      <c r="N71" t="s">
        <v>408</v>
      </c>
      <c r="O71" t="s">
        <v>420</v>
      </c>
      <c r="P71" t="str">
        <f>IF(ISNUMBER(MATCH(E71,dim_produits!$C:$C,0)),"OK","MANQUANT")</f>
        <v>OK</v>
      </c>
      <c r="Q71" t="str">
        <f>IF(ISNUMBER(MATCH(E71,dim_lignes_achat!$L:$L,0)),"OK","MANQUANT")</f>
        <v>OK</v>
      </c>
    </row>
    <row r="72" spans="1:17">
      <c r="A72">
        <f t="shared" si="4"/>
        <v>71</v>
      </c>
      <c r="B72" s="8">
        <v>46204</v>
      </c>
      <c r="C72" s="8">
        <v>46204</v>
      </c>
      <c r="D72">
        <f>IFERROR(_xlfn.XLOOKUP(E72,dim_produits!$C:$C,dim_produits!$A:$A,""),"")</f>
        <v>74</v>
      </c>
      <c r="E72" t="s">
        <v>198</v>
      </c>
      <c r="F72">
        <f>IF(E72="","",SUMIF(dim_lignes_achat!$L:$L,E72,dim_lignes_achat!$F:$F))</f>
        <v>51</v>
      </c>
      <c r="G72">
        <f>IF(E72="","",SUMIF(dim_lignes_vente!$I:$I,E72,dim_lignes_vente!$D:$D))</f>
        <v>21</v>
      </c>
      <c r="H72">
        <f>IF(E72="","",SUMIF(dim_pertes!$J:$J,E72,dim_pertes!$E:$E))</f>
        <v>0</v>
      </c>
      <c r="I72">
        <f t="shared" si="5"/>
        <v>30</v>
      </c>
      <c r="J72">
        <v>27</v>
      </c>
      <c r="K72">
        <f t="shared" si="6"/>
        <v>-3</v>
      </c>
      <c r="L72" s="10">
        <f t="shared" si="7"/>
        <v>-1860</v>
      </c>
      <c r="M72" s="10">
        <f>IFERROR(_xlfn.XLOOKUP(E72,dim_lignes_achat!$L:$L,dim_lignes_achat!$H:$H,"",0,-1),"")</f>
        <v>620</v>
      </c>
      <c r="N72" t="s">
        <v>408</v>
      </c>
      <c r="O72" t="s">
        <v>420</v>
      </c>
      <c r="P72" t="str">
        <f>IF(ISNUMBER(MATCH(E72,dim_produits!$C:$C,0)),"OK","MANQUANT")</f>
        <v>OK</v>
      </c>
      <c r="Q72" t="str">
        <f>IF(ISNUMBER(MATCH(E72,dim_lignes_achat!$L:$L,0)),"OK","MANQUANT")</f>
        <v>OK</v>
      </c>
    </row>
    <row r="73" spans="1:17">
      <c r="A73">
        <f t="shared" si="4"/>
        <v>72</v>
      </c>
      <c r="B73" s="8">
        <v>46204</v>
      </c>
      <c r="C73" s="8">
        <v>46204</v>
      </c>
      <c r="D73">
        <f>IFERROR(_xlfn.XLOOKUP(E73,dim_produits!$C:$C,dim_produits!$A:$A,""),"")</f>
        <v>75</v>
      </c>
      <c r="E73" t="s">
        <v>199</v>
      </c>
      <c r="F73">
        <f>IF(E73="","",SUMIF(dim_lignes_achat!$L:$L,E73,dim_lignes_achat!$F:$F))</f>
        <v>36</v>
      </c>
      <c r="G73">
        <f>IF(E73="","",SUMIF(dim_lignes_vente!$I:$I,E73,dim_lignes_vente!$D:$D))</f>
        <v>3</v>
      </c>
      <c r="H73">
        <f>IF(E73="","",SUMIF(dim_pertes!$J:$J,E73,dim_pertes!$E:$E))</f>
        <v>0</v>
      </c>
      <c r="I73">
        <f t="shared" si="5"/>
        <v>33</v>
      </c>
      <c r="J73">
        <v>32</v>
      </c>
      <c r="K73">
        <f t="shared" si="6"/>
        <v>-1</v>
      </c>
      <c r="L73" s="10">
        <f t="shared" si="7"/>
        <v>-650</v>
      </c>
      <c r="M73" s="10">
        <f>IFERROR(_xlfn.XLOOKUP(E73,dim_lignes_achat!$L:$L,dim_lignes_achat!$H:$H,"",0,-1),"")</f>
        <v>650</v>
      </c>
      <c r="N73" t="s">
        <v>408</v>
      </c>
      <c r="O73" t="s">
        <v>420</v>
      </c>
      <c r="P73" t="str">
        <f>IF(ISNUMBER(MATCH(E73,dim_produits!$C:$C,0)),"OK","MANQUANT")</f>
        <v>OK</v>
      </c>
      <c r="Q73" t="str">
        <f>IF(ISNUMBER(MATCH(E73,dim_lignes_achat!$L:$L,0)),"OK","MANQUANT")</f>
        <v>OK</v>
      </c>
    </row>
    <row r="74" spans="1:17">
      <c r="A74">
        <f t="shared" si="4"/>
        <v>73</v>
      </c>
      <c r="B74" s="8">
        <v>46204</v>
      </c>
      <c r="C74" s="8">
        <v>46204</v>
      </c>
      <c r="D74">
        <f>IFERROR(_xlfn.XLOOKUP(E74,dim_produits!$C:$C,dim_produits!$A:$A,""),"")</f>
        <v>76</v>
      </c>
      <c r="E74" t="s">
        <v>201</v>
      </c>
      <c r="F74">
        <f>IF(E74="","",SUMIF(dim_lignes_achat!$L:$L,E74,dim_lignes_achat!$F:$F))</f>
        <v>30</v>
      </c>
      <c r="G74">
        <f>IF(E74="","",SUMIF(dim_lignes_vente!$I:$I,E74,dim_lignes_vente!$D:$D))</f>
        <v>0</v>
      </c>
      <c r="H74">
        <f>IF(E74="","",SUMIF(dim_pertes!$J:$J,E74,dim_pertes!$E:$E))</f>
        <v>0</v>
      </c>
      <c r="I74">
        <f t="shared" si="5"/>
        <v>30</v>
      </c>
      <c r="J74">
        <v>29</v>
      </c>
      <c r="K74">
        <f t="shared" si="6"/>
        <v>-1</v>
      </c>
      <c r="L74" s="10">
        <f t="shared" si="7"/>
        <v>-391.66</v>
      </c>
      <c r="M74" s="10">
        <f>IFERROR(_xlfn.XLOOKUP(E74,dim_lignes_achat!$L:$L,dim_lignes_achat!$H:$H,"",0,-1),"")</f>
        <v>391.66</v>
      </c>
      <c r="N74" t="s">
        <v>408</v>
      </c>
      <c r="O74" t="s">
        <v>420</v>
      </c>
      <c r="P74" t="str">
        <f>IF(ISNUMBER(MATCH(E74,dim_produits!$C:$C,0)),"OK","MANQUANT")</f>
        <v>OK</v>
      </c>
      <c r="Q74" t="str">
        <f>IF(ISNUMBER(MATCH(E74,dim_lignes_achat!$L:$L,0)),"OK","MANQUANT")</f>
        <v>OK</v>
      </c>
    </row>
    <row r="75" spans="1:17">
      <c r="A75">
        <f t="shared" si="4"/>
        <v>74</v>
      </c>
      <c r="B75" s="8">
        <v>46204</v>
      </c>
      <c r="C75" s="8">
        <v>46204</v>
      </c>
      <c r="D75">
        <f>IFERROR(_xlfn.XLOOKUP(E75,dim_produits!$C:$C,dim_produits!$A:$A,""),"")</f>
        <v>77</v>
      </c>
      <c r="E75" t="s">
        <v>202</v>
      </c>
      <c r="F75">
        <f>IF(E75="","",SUMIF(dim_lignes_achat!$L:$L,E75,dim_lignes_achat!$F:$F))</f>
        <v>36</v>
      </c>
      <c r="G75">
        <f>IF(E75="","",SUMIF(dim_lignes_vente!$I:$I,E75,dim_lignes_vente!$D:$D))</f>
        <v>5</v>
      </c>
      <c r="H75">
        <f>IF(E75="","",SUMIF(dim_pertes!$J:$J,E75,dim_pertes!$E:$E))</f>
        <v>0</v>
      </c>
      <c r="I75">
        <f t="shared" si="5"/>
        <v>31</v>
      </c>
      <c r="J75">
        <v>30</v>
      </c>
      <c r="K75">
        <f t="shared" si="6"/>
        <v>-1</v>
      </c>
      <c r="L75" s="10">
        <f t="shared" si="7"/>
        <v>-550</v>
      </c>
      <c r="M75" s="10">
        <f>IFERROR(_xlfn.XLOOKUP(E75,dim_lignes_achat!$L:$L,dim_lignes_achat!$H:$H,"",0,-1),"")</f>
        <v>550</v>
      </c>
      <c r="N75" t="s">
        <v>408</v>
      </c>
      <c r="O75" t="s">
        <v>420</v>
      </c>
      <c r="P75" t="str">
        <f>IF(ISNUMBER(MATCH(E75,dim_produits!$C:$C,0)),"OK","MANQUANT")</f>
        <v>OK</v>
      </c>
      <c r="Q75" t="str">
        <f>IF(ISNUMBER(MATCH(E75,dim_lignes_achat!$L:$L,0)),"OK","MANQUANT")</f>
        <v>OK</v>
      </c>
    </row>
    <row r="76" spans="1:17">
      <c r="A76">
        <f t="shared" si="4"/>
        <v>75</v>
      </c>
      <c r="B76" s="8">
        <v>46204</v>
      </c>
      <c r="C76" s="8">
        <v>46204</v>
      </c>
      <c r="D76">
        <f>IFERROR(_xlfn.XLOOKUP(E76,dim_produits!$C:$C,dim_produits!$A:$A,""),"")</f>
        <v>78</v>
      </c>
      <c r="E76" t="s">
        <v>203</v>
      </c>
      <c r="F76">
        <f>IF(E76="","",SUMIF(dim_lignes_achat!$L:$L,E76,dim_lignes_achat!$F:$F))</f>
        <v>12</v>
      </c>
      <c r="G76">
        <f>IF(E76="","",SUMIF(dim_lignes_vente!$I:$I,E76,dim_lignes_vente!$D:$D))</f>
        <v>0</v>
      </c>
      <c r="H76">
        <f>IF(E76="","",SUMIF(dim_pertes!$J:$J,E76,dim_pertes!$E:$E))</f>
        <v>0</v>
      </c>
      <c r="I76">
        <f t="shared" si="5"/>
        <v>12</v>
      </c>
      <c r="J76">
        <v>0</v>
      </c>
      <c r="K76">
        <f t="shared" si="6"/>
        <v>-12</v>
      </c>
      <c r="L76" s="10">
        <f t="shared" si="7"/>
        <v>-2899.92</v>
      </c>
      <c r="M76" s="10">
        <f>IFERROR(_xlfn.XLOOKUP(E76,dim_lignes_achat!$L:$L,dim_lignes_achat!$H:$H,"",0,-1),"")</f>
        <v>241.66</v>
      </c>
      <c r="N76" t="s">
        <v>408</v>
      </c>
      <c r="O76" t="s">
        <v>420</v>
      </c>
      <c r="P76" t="str">
        <f>IF(ISNUMBER(MATCH(E76,dim_produits!$C:$C,0)),"OK","MANQUANT")</f>
        <v>OK</v>
      </c>
      <c r="Q76" t="str">
        <f>IF(ISNUMBER(MATCH(E76,dim_lignes_achat!$L:$L,0)),"OK","MANQUANT")</f>
        <v>OK</v>
      </c>
    </row>
    <row r="77" spans="1:17">
      <c r="A77">
        <f t="shared" si="4"/>
        <v>76</v>
      </c>
      <c r="B77" s="8">
        <v>46204</v>
      </c>
      <c r="C77" s="8">
        <v>46204</v>
      </c>
      <c r="D77">
        <f>IFERROR(_xlfn.XLOOKUP(E77,dim_produits!$C:$C,dim_produits!$A:$A,""),"")</f>
        <v>79</v>
      </c>
      <c r="E77" t="s">
        <v>204</v>
      </c>
      <c r="F77">
        <f>IF(E77="","",SUMIF(dim_lignes_achat!$L:$L,E77,dim_lignes_achat!$F:$F))</f>
        <v>58</v>
      </c>
      <c r="G77">
        <f>IF(E77="","",SUMIF(dim_lignes_vente!$I:$I,E77,dim_lignes_vente!$D:$D))</f>
        <v>0</v>
      </c>
      <c r="H77">
        <f>IF(E77="","",SUMIF(dim_pertes!$J:$J,E77,dim_pertes!$E:$E))</f>
        <v>0</v>
      </c>
      <c r="I77">
        <f t="shared" si="5"/>
        <v>58</v>
      </c>
      <c r="J77">
        <v>34</v>
      </c>
      <c r="K77">
        <f t="shared" si="6"/>
        <v>-24</v>
      </c>
      <c r="L77" s="10">
        <f t="shared" si="7"/>
        <v>-9399.84</v>
      </c>
      <c r="M77" s="10">
        <f>IFERROR(_xlfn.XLOOKUP(E77,dim_lignes_achat!$L:$L,dim_lignes_achat!$H:$H,"",0,-1),"")</f>
        <v>391.66</v>
      </c>
      <c r="N77" t="s">
        <v>408</v>
      </c>
      <c r="O77" t="s">
        <v>420</v>
      </c>
      <c r="P77" t="str">
        <f>IF(ISNUMBER(MATCH(E77,dim_produits!$C:$C,0)),"OK","MANQUANT")</f>
        <v>OK</v>
      </c>
      <c r="Q77" t="str">
        <f>IF(ISNUMBER(MATCH(E77,dim_lignes_achat!$L:$L,0)),"OK","MANQUANT")</f>
        <v>OK</v>
      </c>
    </row>
    <row r="78" spans="1:17">
      <c r="A78">
        <f t="shared" si="4"/>
        <v>77</v>
      </c>
      <c r="B78" s="8">
        <v>46204</v>
      </c>
      <c r="C78" s="8">
        <v>46204</v>
      </c>
      <c r="D78">
        <f>IFERROR(_xlfn.XLOOKUP(E78,dim_produits!$C:$C,dim_produits!$A:$A,""),"")</f>
        <v>80</v>
      </c>
      <c r="E78" t="s">
        <v>205</v>
      </c>
      <c r="F78">
        <f>IF(E78="","",SUMIF(dim_lignes_achat!$L:$L,E78,dim_lignes_achat!$F:$F))</f>
        <v>12</v>
      </c>
      <c r="G78">
        <f>IF(E78="","",SUMIF(dim_lignes_vente!$I:$I,E78,dim_lignes_vente!$D:$D))</f>
        <v>0</v>
      </c>
      <c r="H78">
        <f>IF(E78="","",SUMIF(dim_pertes!$J:$J,E78,dim_pertes!$E:$E))</f>
        <v>0</v>
      </c>
      <c r="I78">
        <f t="shared" si="5"/>
        <v>12</v>
      </c>
      <c r="J78">
        <v>12</v>
      </c>
      <c r="K78">
        <f t="shared" si="6"/>
        <v>0</v>
      </c>
      <c r="L78" s="10">
        <f t="shared" si="7"/>
        <v>0</v>
      </c>
      <c r="M78" s="10">
        <f>IFERROR(_xlfn.XLOOKUP(E78,dim_lignes_achat!$L:$L,dim_lignes_achat!$H:$H,"",0,-1),"")</f>
        <v>196</v>
      </c>
      <c r="N78" t="s">
        <v>408</v>
      </c>
      <c r="O78" t="s">
        <v>420</v>
      </c>
      <c r="P78" t="str">
        <f>IF(ISNUMBER(MATCH(E78,dim_produits!$C:$C,0)),"OK","MANQUANT")</f>
        <v>OK</v>
      </c>
      <c r="Q78" t="str">
        <f>IF(ISNUMBER(MATCH(E78,dim_lignes_achat!$L:$L,0)),"OK","MANQUANT")</f>
        <v>OK</v>
      </c>
    </row>
    <row r="79" spans="1:17">
      <c r="A79">
        <f t="shared" si="4"/>
        <v>78</v>
      </c>
      <c r="B79" s="8">
        <v>46204</v>
      </c>
      <c r="C79" s="8">
        <v>46204</v>
      </c>
      <c r="D79">
        <f>IFERROR(_xlfn.XLOOKUP(E79,dim_produits!$C:$C,dim_produits!$A:$A,""),"")</f>
        <v>81</v>
      </c>
      <c r="E79" t="s">
        <v>206</v>
      </c>
      <c r="F79">
        <f>IF(E79="","",SUMIF(dim_lignes_achat!$L:$L,E79,dim_lignes_achat!$F:$F))</f>
        <v>12</v>
      </c>
      <c r="G79">
        <f>IF(E79="","",SUMIF(dim_lignes_vente!$I:$I,E79,dim_lignes_vente!$D:$D))</f>
        <v>4</v>
      </c>
      <c r="H79">
        <f>IF(E79="","",SUMIF(dim_pertes!$J:$J,E79,dim_pertes!$E:$E))</f>
        <v>0</v>
      </c>
      <c r="I79">
        <f t="shared" si="5"/>
        <v>8</v>
      </c>
      <c r="J79">
        <v>10</v>
      </c>
      <c r="K79">
        <f t="shared" si="6"/>
        <v>2</v>
      </c>
      <c r="L79" s="10">
        <f t="shared" si="7"/>
        <v>483.32</v>
      </c>
      <c r="M79" s="10">
        <f>IFERROR(_xlfn.XLOOKUP(E79,dim_lignes_achat!$L:$L,dim_lignes_achat!$H:$H,"",0,-1),"")</f>
        <v>241.66</v>
      </c>
      <c r="N79" t="s">
        <v>408</v>
      </c>
      <c r="O79" t="s">
        <v>420</v>
      </c>
      <c r="P79" t="str">
        <f>IF(ISNUMBER(MATCH(E79,dim_produits!$C:$C,0)),"OK","MANQUANT")</f>
        <v>OK</v>
      </c>
      <c r="Q79" t="str">
        <f>IF(ISNUMBER(MATCH(E79,dim_lignes_achat!$L:$L,0)),"OK","MANQUANT")</f>
        <v>OK</v>
      </c>
    </row>
    <row r="80" spans="1:17">
      <c r="A80">
        <f t="shared" si="4"/>
        <v>79</v>
      </c>
      <c r="B80" s="8">
        <v>46204</v>
      </c>
      <c r="C80" s="8">
        <v>46204</v>
      </c>
      <c r="D80">
        <f>IFERROR(_xlfn.XLOOKUP(E80,dim_produits!$C:$C,dim_produits!$A:$A,""),"")</f>
        <v>82</v>
      </c>
      <c r="E80" t="s">
        <v>207</v>
      </c>
      <c r="F80">
        <f>IF(E80="","",SUMIF(dim_lignes_achat!$L:$L,E80,dim_lignes_achat!$F:$F))</f>
        <v>36</v>
      </c>
      <c r="G80">
        <f>IF(E80="","",SUMIF(dim_lignes_vente!$I:$I,E80,dim_lignes_vente!$D:$D))</f>
        <v>0</v>
      </c>
      <c r="H80">
        <f>IF(E80="","",SUMIF(dim_pertes!$J:$J,E80,dim_pertes!$E:$E))</f>
        <v>0</v>
      </c>
      <c r="I80">
        <f t="shared" si="5"/>
        <v>36</v>
      </c>
      <c r="J80">
        <v>35</v>
      </c>
      <c r="K80">
        <f t="shared" si="6"/>
        <v>-1</v>
      </c>
      <c r="L80" s="10">
        <f t="shared" si="7"/>
        <v>-391.66</v>
      </c>
      <c r="M80" s="10">
        <f>IFERROR(_xlfn.XLOOKUP(E80,dim_lignes_achat!$L:$L,dim_lignes_achat!$H:$H,"",0,-1),"")</f>
        <v>391.66</v>
      </c>
      <c r="N80" t="s">
        <v>408</v>
      </c>
      <c r="O80" t="s">
        <v>420</v>
      </c>
      <c r="P80" t="str">
        <f>IF(ISNUMBER(MATCH(E80,dim_produits!$C:$C,0)),"OK","MANQUANT")</f>
        <v>OK</v>
      </c>
      <c r="Q80" t="str">
        <f>IF(ISNUMBER(MATCH(E80,dim_lignes_achat!$L:$L,0)),"OK","MANQUANT")</f>
        <v>OK</v>
      </c>
    </row>
    <row r="81" spans="1:17">
      <c r="A81">
        <f t="shared" si="4"/>
        <v>80</v>
      </c>
      <c r="B81" s="8">
        <v>46204</v>
      </c>
      <c r="C81" s="8">
        <v>46204</v>
      </c>
      <c r="D81">
        <f>IFERROR(_xlfn.XLOOKUP(E81,dim_produits!$C:$C,dim_produits!$A:$A,""),"")</f>
        <v>83</v>
      </c>
      <c r="E81" t="s">
        <v>208</v>
      </c>
      <c r="F81">
        <f>IF(E81="","",SUMIF(dim_lignes_achat!$L:$L,E81,dim_lignes_achat!$F:$F))</f>
        <v>36</v>
      </c>
      <c r="G81">
        <f>IF(E81="","",SUMIF(dim_lignes_vente!$I:$I,E81,dim_lignes_vente!$D:$D))</f>
        <v>3</v>
      </c>
      <c r="H81">
        <f>IF(E81="","",SUMIF(dim_pertes!$J:$J,E81,dim_pertes!$E:$E))</f>
        <v>0</v>
      </c>
      <c r="I81">
        <f t="shared" si="5"/>
        <v>33</v>
      </c>
      <c r="J81">
        <v>34</v>
      </c>
      <c r="K81">
        <f t="shared" si="6"/>
        <v>1</v>
      </c>
      <c r="L81" s="10">
        <f t="shared" si="7"/>
        <v>541.66</v>
      </c>
      <c r="M81" s="10">
        <f>IFERROR(_xlfn.XLOOKUP(E81,dim_lignes_achat!$L:$L,dim_lignes_achat!$H:$H,"",0,-1),"")</f>
        <v>541.66</v>
      </c>
      <c r="N81" t="s">
        <v>408</v>
      </c>
      <c r="O81" t="s">
        <v>420</v>
      </c>
      <c r="P81" t="str">
        <f>IF(ISNUMBER(MATCH(E81,dim_produits!$C:$C,0)),"OK","MANQUANT")</f>
        <v>OK</v>
      </c>
      <c r="Q81" t="str">
        <f>IF(ISNUMBER(MATCH(E81,dim_lignes_achat!$L:$L,0)),"OK","MANQUANT")</f>
        <v>OK</v>
      </c>
    </row>
    <row r="82" spans="1:17">
      <c r="A82">
        <f t="shared" si="4"/>
        <v>81</v>
      </c>
      <c r="B82" s="8">
        <v>46204</v>
      </c>
      <c r="C82" s="8">
        <v>46204</v>
      </c>
      <c r="D82">
        <f>IFERROR(_xlfn.XLOOKUP(E82,dim_produits!$C:$C,dim_produits!$A:$A,""),"")</f>
        <v>84</v>
      </c>
      <c r="E82" t="s">
        <v>209</v>
      </c>
      <c r="F82">
        <f>IF(E82="","",SUMIF(dim_lignes_achat!$L:$L,E82,dim_lignes_achat!$F:$F))</f>
        <v>42</v>
      </c>
      <c r="G82">
        <f>IF(E82="","",SUMIF(dim_lignes_vente!$I:$I,E82,dim_lignes_vente!$D:$D))</f>
        <v>16</v>
      </c>
      <c r="H82">
        <f>IF(E82="","",SUMIF(dim_pertes!$J:$J,E82,dim_pertes!$E:$E))</f>
        <v>0</v>
      </c>
      <c r="I82">
        <f t="shared" si="5"/>
        <v>26</v>
      </c>
      <c r="J82">
        <v>22</v>
      </c>
      <c r="K82">
        <f t="shared" si="6"/>
        <v>-4</v>
      </c>
      <c r="L82" s="10">
        <f t="shared" si="7"/>
        <v>-2166.64</v>
      </c>
      <c r="M82" s="10">
        <f>IFERROR(_xlfn.XLOOKUP(E82,dim_lignes_achat!$L:$L,dim_lignes_achat!$H:$H,"",0,-1),"")</f>
        <v>541.66</v>
      </c>
      <c r="N82" t="s">
        <v>408</v>
      </c>
      <c r="O82" t="s">
        <v>420</v>
      </c>
      <c r="P82" t="str">
        <f>IF(ISNUMBER(MATCH(E82,dim_produits!$C:$C,0)),"OK","MANQUANT")</f>
        <v>OK</v>
      </c>
      <c r="Q82" t="str">
        <f>IF(ISNUMBER(MATCH(E82,dim_lignes_achat!$L:$L,0)),"OK","MANQUANT")</f>
        <v>OK</v>
      </c>
    </row>
    <row r="83" spans="1:17">
      <c r="A83">
        <f t="shared" si="4"/>
        <v>82</v>
      </c>
      <c r="B83" s="8">
        <v>46204</v>
      </c>
      <c r="C83" s="8">
        <v>46204</v>
      </c>
      <c r="D83">
        <f>IFERROR(_xlfn.XLOOKUP(E83,dim_produits!$C:$C,dim_produits!$A:$A,""),"")</f>
        <v>85</v>
      </c>
      <c r="E83" t="s">
        <v>210</v>
      </c>
      <c r="F83">
        <f>IF(E83="","",SUMIF(dim_lignes_achat!$L:$L,E83,dim_lignes_achat!$F:$F))</f>
        <v>30</v>
      </c>
      <c r="G83">
        <f>IF(E83="","",SUMIF(dim_lignes_vente!$I:$I,E83,dim_lignes_vente!$D:$D))</f>
        <v>4</v>
      </c>
      <c r="H83">
        <f>IF(E83="","",SUMIF(dim_pertes!$J:$J,E83,dim_pertes!$E:$E))</f>
        <v>0</v>
      </c>
      <c r="I83">
        <f t="shared" si="5"/>
        <v>26</v>
      </c>
      <c r="J83">
        <v>23</v>
      </c>
      <c r="K83">
        <f t="shared" si="6"/>
        <v>-3</v>
      </c>
      <c r="L83" s="10">
        <f t="shared" si="7"/>
        <v>-1174.98</v>
      </c>
      <c r="M83" s="10">
        <f>IFERROR(_xlfn.XLOOKUP(E83,dim_lignes_achat!$L:$L,dim_lignes_achat!$H:$H,"",0,-1),"")</f>
        <v>391.66</v>
      </c>
      <c r="N83" t="s">
        <v>408</v>
      </c>
      <c r="O83" t="s">
        <v>420</v>
      </c>
      <c r="P83" t="str">
        <f>IF(ISNUMBER(MATCH(E83,dim_produits!$C:$C,0)),"OK","MANQUANT")</f>
        <v>OK</v>
      </c>
      <c r="Q83" t="str">
        <f>IF(ISNUMBER(MATCH(E83,dim_lignes_achat!$L:$L,0)),"OK","MANQUANT")</f>
        <v>OK</v>
      </c>
    </row>
    <row r="84" spans="1:17">
      <c r="A84">
        <f t="shared" si="4"/>
        <v>83</v>
      </c>
      <c r="B84" s="8">
        <v>46204</v>
      </c>
      <c r="C84" s="8">
        <v>46204</v>
      </c>
      <c r="D84">
        <f>IFERROR(_xlfn.XLOOKUP(E84,dim_produits!$C:$C,dim_produits!$A:$A,""),"")</f>
        <v>86</v>
      </c>
      <c r="E84" t="s">
        <v>407</v>
      </c>
      <c r="F84">
        <f>IF(E84="","",SUMIF(dim_lignes_achat!$L:$L,E84,dim_lignes_achat!$F:$F))</f>
        <v>6</v>
      </c>
      <c r="G84">
        <f>IF(E84="","",SUMIF(dim_lignes_vente!$I:$I,E84,dim_lignes_vente!$D:$D))</f>
        <v>1</v>
      </c>
      <c r="H84">
        <f>IF(E84="","",SUMIF(dim_pertes!$J:$J,E84,dim_pertes!$E:$E))</f>
        <v>0</v>
      </c>
      <c r="I84">
        <f t="shared" si="5"/>
        <v>5</v>
      </c>
      <c r="J84">
        <v>0</v>
      </c>
      <c r="K84">
        <f t="shared" si="6"/>
        <v>-5</v>
      </c>
      <c r="L84" s="10">
        <f t="shared" si="7"/>
        <v>-2083.3333333333335</v>
      </c>
      <c r="M84" s="10">
        <f>IFERROR(_xlfn.XLOOKUP(E84,dim_lignes_achat!$L:$L,dim_lignes_achat!$H:$H,"",0,-1),"")</f>
        <v>416.66666666666669</v>
      </c>
      <c r="N84" t="s">
        <v>408</v>
      </c>
      <c r="O84" t="s">
        <v>420</v>
      </c>
      <c r="P84" t="str">
        <f>IF(ISNUMBER(MATCH(E84,dim_produits!$C:$C,0)),"OK","MANQUANT")</f>
        <v>OK</v>
      </c>
      <c r="Q84" t="str">
        <f>IF(ISNUMBER(MATCH(E84,dim_lignes_achat!$L:$L,0)),"OK","MANQUANT")</f>
        <v>OK</v>
      </c>
    </row>
    <row r="85" spans="1:17">
      <c r="A85">
        <f t="shared" si="4"/>
        <v>84</v>
      </c>
      <c r="B85" s="8">
        <v>46204</v>
      </c>
      <c r="C85" s="8">
        <v>46204</v>
      </c>
      <c r="D85">
        <f>IFERROR(_xlfn.XLOOKUP(E85,dim_produits!$C:$C,dim_produits!$A:$A,""),"")</f>
        <v>87</v>
      </c>
      <c r="E85" t="s">
        <v>374</v>
      </c>
      <c r="F85">
        <f>IF(E85="","",SUMIF(dim_lignes_achat!$L:$L,E85,dim_lignes_achat!$F:$F))</f>
        <v>24</v>
      </c>
      <c r="G85">
        <f>IF(E85="","",SUMIF(dim_lignes_vente!$I:$I,E85,dim_lignes_vente!$D:$D))</f>
        <v>0</v>
      </c>
      <c r="H85">
        <f>IF(E85="","",SUMIF(dim_pertes!$J:$J,E85,dim_pertes!$E:$E))</f>
        <v>0</v>
      </c>
      <c r="I85">
        <f t="shared" si="5"/>
        <v>24</v>
      </c>
      <c r="J85">
        <v>46</v>
      </c>
      <c r="K85">
        <f t="shared" si="6"/>
        <v>22</v>
      </c>
      <c r="L85" s="10">
        <f t="shared" si="7"/>
        <v>12612.416666666666</v>
      </c>
      <c r="M85" s="10">
        <f>IFERROR(_xlfn.XLOOKUP(E85,dim_lignes_achat!$L:$L,dim_lignes_achat!$H:$H,"",0,-1),"")</f>
        <v>573.29166666666663</v>
      </c>
      <c r="N85" t="s">
        <v>408</v>
      </c>
      <c r="O85" t="s">
        <v>420</v>
      </c>
      <c r="P85" t="str">
        <f>IF(ISNUMBER(MATCH(E85,dim_produits!$C:$C,0)),"OK","MANQUANT")</f>
        <v>OK</v>
      </c>
      <c r="Q85" t="str">
        <f>IF(ISNUMBER(MATCH(E85,dim_lignes_achat!$L:$L,0)),"OK","MANQUANT")</f>
        <v>OK</v>
      </c>
    </row>
    <row r="86" spans="1:17">
      <c r="A86">
        <f t="shared" si="4"/>
        <v>85</v>
      </c>
      <c r="B86" s="8">
        <v>46204</v>
      </c>
      <c r="C86" s="8">
        <v>46204</v>
      </c>
      <c r="D86">
        <f>IFERROR(_xlfn.XLOOKUP(E86,dim_produits!$C:$C,dim_produits!$A:$A,""),"")</f>
        <v>88</v>
      </c>
      <c r="E86" t="s">
        <v>253</v>
      </c>
      <c r="F86">
        <f>IF(E86="","",SUMIF(dim_lignes_achat!$L:$L,E86,dim_lignes_achat!$F:$F))</f>
        <v>15</v>
      </c>
      <c r="G86">
        <f>IF(E86="","",SUMIF(dim_lignes_vente!$I:$I,E86,dim_lignes_vente!$D:$D))</f>
        <v>14</v>
      </c>
      <c r="H86">
        <f>IF(E86="","",SUMIF(dim_pertes!$J:$J,E86,dim_pertes!$E:$E))</f>
        <v>0</v>
      </c>
      <c r="I86">
        <f t="shared" si="5"/>
        <v>1</v>
      </c>
      <c r="J86">
        <v>0</v>
      </c>
      <c r="K86">
        <f t="shared" si="6"/>
        <v>-1</v>
      </c>
      <c r="L86" s="10">
        <f t="shared" si="7"/>
        <v>-66</v>
      </c>
      <c r="M86" s="10">
        <f>IFERROR(_xlfn.XLOOKUP(E86,dim_lignes_achat!$L:$L,dim_lignes_achat!$H:$H,"",0,-1),"")</f>
        <v>66</v>
      </c>
      <c r="N86" t="s">
        <v>408</v>
      </c>
      <c r="O86" t="s">
        <v>420</v>
      </c>
      <c r="P86" t="str">
        <f>IF(ISNUMBER(MATCH(E86,dim_produits!$C:$C,0)),"OK","MANQUANT")</f>
        <v>OK</v>
      </c>
      <c r="Q86" t="str">
        <f>IF(ISNUMBER(MATCH(E86,dim_lignes_achat!$L:$L,0)),"OK","MANQUANT")</f>
        <v>OK</v>
      </c>
    </row>
    <row r="87" spans="1:17">
      <c r="A87">
        <f t="shared" si="4"/>
        <v>86</v>
      </c>
      <c r="B87" s="8">
        <v>46204</v>
      </c>
      <c r="C87" s="8">
        <v>46204</v>
      </c>
      <c r="D87">
        <f>IFERROR(_xlfn.XLOOKUP(E87,dim_produits!$C:$C,dim_produits!$A:$A,""),"")</f>
        <v>89</v>
      </c>
      <c r="E87" s="108" t="s">
        <v>366</v>
      </c>
      <c r="F87" s="108">
        <f>IF(E87="","",SUMIF(dim_lignes_achat!$L:$L,E87,dim_lignes_achat!$F:$F))</f>
        <v>9</v>
      </c>
      <c r="G87" s="109">
        <f>IF(E87="","",SUMIF(dim_lignes_vente!$I:$I,E87,dim_lignes_vente!$D:$D))</f>
        <v>1</v>
      </c>
      <c r="H87">
        <f>IF(E87="","",SUMIF(dim_pertes!$J:$J,E87,dim_pertes!$E:$E))</f>
        <v>0</v>
      </c>
      <c r="I87">
        <f t="shared" si="5"/>
        <v>8</v>
      </c>
      <c r="J87" s="109">
        <v>8</v>
      </c>
      <c r="K87" s="110">
        <f t="shared" si="6"/>
        <v>0</v>
      </c>
      <c r="L87" s="10">
        <f t="shared" si="7"/>
        <v>0</v>
      </c>
      <c r="M87" s="10">
        <f>IFERROR(_xlfn.XLOOKUP(E87,dim_lignes_achat!$L:$L,dim_lignes_achat!$H:$H,"",0,-1),"")</f>
        <v>516.66666666666663</v>
      </c>
      <c r="N87" t="s">
        <v>408</v>
      </c>
      <c r="O87" t="s">
        <v>420</v>
      </c>
      <c r="P87" t="str">
        <f>IF(ISNUMBER(MATCH(E87,dim_produits!$C:$C,0)),"OK","MANQUANT")</f>
        <v>OK</v>
      </c>
      <c r="Q87" t="str">
        <f>IF(ISNUMBER(MATCH(E87,dim_lignes_achat!$L:$L,0)),"OK","MANQUANT")</f>
        <v>OK</v>
      </c>
    </row>
    <row r="88" spans="1:17">
      <c r="A88">
        <f t="shared" si="4"/>
        <v>87</v>
      </c>
      <c r="B88" s="8">
        <v>46204</v>
      </c>
      <c r="C88" s="8">
        <v>46204</v>
      </c>
      <c r="D88">
        <f>IFERROR(_xlfn.XLOOKUP(E88,dim_produits!$C:$C,dim_produits!$A:$A,""),"")</f>
        <v>90</v>
      </c>
      <c r="E88" s="107" t="s">
        <v>367</v>
      </c>
      <c r="F88">
        <f>IF(E88="","",SUMIF(dim_lignes_achat!$L:$L,E88,dim_lignes_achat!$F:$F))</f>
        <v>13</v>
      </c>
      <c r="G88">
        <f>IF(E88="","",SUMIF(dim_lignes_vente!$I:$I,E88,dim_lignes_vente!$D:$D))</f>
        <v>0</v>
      </c>
      <c r="H88">
        <f>IF(E88="","",SUMIF(dim_pertes!$J:$J,E88,dim_pertes!$E:$E))</f>
        <v>0</v>
      </c>
      <c r="I88">
        <f t="shared" si="5"/>
        <v>13</v>
      </c>
      <c r="J88">
        <v>2</v>
      </c>
      <c r="K88" s="111">
        <f t="shared" si="6"/>
        <v>-11</v>
      </c>
      <c r="L88" s="21">
        <f t="shared" si="7"/>
        <v>-4546.6666666666661</v>
      </c>
      <c r="M88" s="10">
        <f>IFERROR(_xlfn.XLOOKUP(E88,dim_lignes_achat!$L:$L,dim_lignes_achat!$H:$H,"",0,-1),"")</f>
        <v>413.33333333333331</v>
      </c>
      <c r="N88" t="s">
        <v>408</v>
      </c>
      <c r="O88" t="s">
        <v>420</v>
      </c>
      <c r="P88" t="str">
        <f>IF(ISNUMBER(MATCH(E88,dim_produits!$C:$C,0)),"OK","MANQUANT")</f>
        <v>OK</v>
      </c>
      <c r="Q88" t="str">
        <f>IF(ISNUMBER(MATCH(E88,dim_lignes_achat!$L:$L,0)),"OK","MANQUANT")</f>
        <v>OK</v>
      </c>
    </row>
    <row r="89" spans="1:17">
      <c r="A89">
        <f t="shared" si="4"/>
        <v>88</v>
      </c>
      <c r="B89" s="8">
        <v>46204</v>
      </c>
      <c r="C89" s="8">
        <v>46204</v>
      </c>
      <c r="D89">
        <f>IFERROR(_xlfn.XLOOKUP(E89,dim_produits!$C:$C,dim_produits!$A:$A,""),"")</f>
        <v>91</v>
      </c>
      <c r="E89" s="107" t="s">
        <v>371</v>
      </c>
      <c r="F89">
        <f>IF(E89="","",SUMIF(dim_lignes_achat!$L:$L,E89,dim_lignes_achat!$F:$F))</f>
        <v>5</v>
      </c>
      <c r="G89">
        <f>IF(E89="","",SUMIF(dim_lignes_vente!$I:$I,E89,dim_lignes_vente!$D:$D))</f>
        <v>0</v>
      </c>
      <c r="H89">
        <f>IF(E89="","",SUMIF(dim_pertes!$J:$J,E89,dim_pertes!$E:$E))</f>
        <v>0</v>
      </c>
      <c r="I89">
        <f t="shared" si="5"/>
        <v>5</v>
      </c>
      <c r="J89">
        <v>5</v>
      </c>
      <c r="K89">
        <f t="shared" si="6"/>
        <v>0</v>
      </c>
      <c r="L89" s="21">
        <f t="shared" si="7"/>
        <v>0</v>
      </c>
      <c r="M89" s="10">
        <f>IFERROR(_xlfn.XLOOKUP(E89,dim_lignes_achat!$L:$L,dim_lignes_achat!$H:$H,"",0,-1),"")</f>
        <v>413.33333333333331</v>
      </c>
      <c r="N89" t="s">
        <v>408</v>
      </c>
      <c r="O89" t="s">
        <v>420</v>
      </c>
      <c r="P89" t="str">
        <f>IF(ISNUMBER(MATCH(E89,dim_produits!$C:$C,0)),"OK","MANQUANT")</f>
        <v>OK</v>
      </c>
      <c r="Q89" t="str">
        <f>IF(ISNUMBER(MATCH(E89,dim_lignes_achat!$L:$L,0)),"OK","MANQUANT")</f>
        <v>OK</v>
      </c>
    </row>
    <row r="90" spans="1:17">
      <c r="A90">
        <f t="shared" si="4"/>
        <v>89</v>
      </c>
      <c r="B90" s="8">
        <v>46204</v>
      </c>
      <c r="C90" s="8">
        <v>46204</v>
      </c>
      <c r="D90">
        <f>IFERROR(_xlfn.XLOOKUP(E90,dim_produits!$C:$C,dim_produits!$A:$A,""),"")</f>
        <v>92</v>
      </c>
      <c r="E90" s="109" t="s">
        <v>375</v>
      </c>
      <c r="F90" s="109">
        <f>IF(E90="","",SUMIF(dim_lignes_achat!$L:$L,E90,dim_lignes_achat!$F:$F))</f>
        <v>24</v>
      </c>
      <c r="G90" s="109">
        <f>IF(E90="","",SUMIF(dim_lignes_vente!$I:$I,E90,dim_lignes_vente!$D:$D))</f>
        <v>5</v>
      </c>
      <c r="H90">
        <f>IF(E90="","",SUMIF(dim_pertes!$J:$J,E90,dim_pertes!$E:$E))</f>
        <v>0</v>
      </c>
      <c r="I90">
        <f t="shared" si="5"/>
        <v>19</v>
      </c>
      <c r="J90">
        <v>0</v>
      </c>
      <c r="K90" s="23">
        <f t="shared" si="6"/>
        <v>-19</v>
      </c>
      <c r="L90" s="10">
        <f t="shared" si="7"/>
        <v>-7853.333333333333</v>
      </c>
      <c r="M90" s="10">
        <f>IFERROR(_xlfn.XLOOKUP(E90,dim_lignes_achat!$L:$L,dim_lignes_achat!$H:$H,"",0,-1),"")</f>
        <v>413.33333333333331</v>
      </c>
      <c r="N90" t="s">
        <v>408</v>
      </c>
      <c r="O90" t="s">
        <v>420</v>
      </c>
      <c r="P90" t="str">
        <f>IF(ISNUMBER(MATCH(E90,dim_produits!$C:$C,0)),"OK","MANQUANT")</f>
        <v>OK</v>
      </c>
      <c r="Q90" t="str">
        <f>IF(ISNUMBER(MATCH(E90,dim_lignes_achat!$L:$L,0)),"OK","MANQUANT")</f>
        <v>OK</v>
      </c>
    </row>
    <row r="91" spans="1:17">
      <c r="A91">
        <f t="shared" si="4"/>
        <v>90</v>
      </c>
      <c r="B91" s="8">
        <v>46204</v>
      </c>
      <c r="C91" s="8">
        <v>46204</v>
      </c>
      <c r="D91">
        <f>IFERROR(_xlfn.XLOOKUP(E91,dim_produits!$C:$C,dim_produits!$A:$A,""),"")</f>
        <v>93</v>
      </c>
      <c r="E91" s="109" t="s">
        <v>372</v>
      </c>
      <c r="F91" s="109">
        <f>IF(E91="","",SUMIF(dim_lignes_achat!$L:$L,E91,dim_lignes_achat!$F:$F))</f>
        <v>36</v>
      </c>
      <c r="G91" s="109">
        <f>IF(E91="","",SUMIF(dim_lignes_vente!$I:$I,E91,dim_lignes_vente!$D:$D))</f>
        <v>0</v>
      </c>
      <c r="H91">
        <f>IF(E91="","",SUMIF(dim_pertes!$J:$J,E91,dim_pertes!$E:$E))</f>
        <v>0</v>
      </c>
      <c r="I91">
        <f t="shared" si="5"/>
        <v>36</v>
      </c>
      <c r="J91">
        <v>0</v>
      </c>
      <c r="K91" s="23">
        <f t="shared" si="6"/>
        <v>-36</v>
      </c>
      <c r="L91" s="10">
        <f t="shared" si="7"/>
        <v>-14880</v>
      </c>
      <c r="M91" s="10">
        <f>IFERROR(_xlfn.XLOOKUP(E91,dim_lignes_achat!$L:$L,dim_lignes_achat!$H:$H,"",0,-1),"")</f>
        <v>413.33333333333331</v>
      </c>
      <c r="N91" t="s">
        <v>408</v>
      </c>
      <c r="O91" t="s">
        <v>420</v>
      </c>
      <c r="P91" t="str">
        <f>IF(ISNUMBER(MATCH(E91,dim_produits!$C:$C,0)),"OK","MANQUANT")</f>
        <v>OK</v>
      </c>
      <c r="Q91" t="str">
        <f>IF(ISNUMBER(MATCH(E91,dim_lignes_achat!$L:$L,0)),"OK","MANQUANT")</f>
        <v>OK</v>
      </c>
    </row>
    <row r="92" spans="1:17">
      <c r="A92">
        <f t="shared" si="4"/>
        <v>91</v>
      </c>
      <c r="B92" s="8">
        <v>46204</v>
      </c>
      <c r="C92" s="8">
        <v>46204</v>
      </c>
      <c r="D92">
        <f>IFERROR(_xlfn.XLOOKUP(E92,dim_produits!$C:$C,dim_produits!$A:$A,""),"")</f>
        <v>94</v>
      </c>
      <c r="E92" t="s">
        <v>216</v>
      </c>
      <c r="F92">
        <f>IF(E92="","",SUMIF(dim_lignes_achat!$L:$L,E92,dim_lignes_achat!$F:$F))</f>
        <v>20</v>
      </c>
      <c r="G92">
        <f>IF(E92="","",SUMIF(dim_lignes_vente!$I:$I,E92,dim_lignes_vente!$D:$D))</f>
        <v>1</v>
      </c>
      <c r="H92">
        <f>IF(E92="","",SUMIF(dim_pertes!$J:$J,E92,dim_pertes!$E:$E))</f>
        <v>0</v>
      </c>
      <c r="I92">
        <f t="shared" si="5"/>
        <v>19</v>
      </c>
      <c r="J92">
        <v>16</v>
      </c>
      <c r="K92">
        <f t="shared" si="6"/>
        <v>-3</v>
      </c>
      <c r="L92" s="10">
        <f t="shared" si="7"/>
        <v>-1020</v>
      </c>
      <c r="M92" s="10">
        <f>IFERROR(_xlfn.XLOOKUP(E92,dim_lignes_achat!$L:$L,dim_lignes_achat!$H:$H,"",0,-1),"")</f>
        <v>340</v>
      </c>
      <c r="N92" t="s">
        <v>408</v>
      </c>
      <c r="O92" t="s">
        <v>420</v>
      </c>
      <c r="P92" t="str">
        <f>IF(ISNUMBER(MATCH(E92,dim_produits!$C:$C,0)),"OK","MANQUANT")</f>
        <v>OK</v>
      </c>
      <c r="Q92" t="str">
        <f>IF(ISNUMBER(MATCH(E92,dim_lignes_achat!$L:$L,0)),"OK","MANQUANT")</f>
        <v>OK</v>
      </c>
    </row>
    <row r="93" spans="1:17">
      <c r="A93">
        <f t="shared" si="4"/>
        <v>92</v>
      </c>
      <c r="B93" s="8">
        <v>46204</v>
      </c>
      <c r="C93" s="8">
        <v>46204</v>
      </c>
      <c r="D93">
        <f>IFERROR(_xlfn.XLOOKUP(E93,dim_produits!$C:$C,dim_produits!$A:$A,""),"")</f>
        <v>95</v>
      </c>
      <c r="E93" t="s">
        <v>404</v>
      </c>
      <c r="F93">
        <f>IF(E93="","",SUMIF(dim_lignes_achat!$L:$L,E93,dim_lignes_achat!$F:$F))</f>
        <v>40</v>
      </c>
      <c r="G93">
        <f>IF(E93="","",SUMIF(dim_lignes_vente!$I:$I,E93,dim_lignes_vente!$D:$D))</f>
        <v>0</v>
      </c>
      <c r="H93">
        <f>IF(E93="","",SUMIF(dim_pertes!$J:$J,E93,dim_pertes!$E:$E))</f>
        <v>5</v>
      </c>
      <c r="I93">
        <f t="shared" si="5"/>
        <v>35</v>
      </c>
      <c r="J93">
        <v>35</v>
      </c>
      <c r="K93">
        <f t="shared" si="6"/>
        <v>0</v>
      </c>
      <c r="L93" s="10">
        <f t="shared" si="7"/>
        <v>0</v>
      </c>
      <c r="M93" s="10">
        <f>IFERROR(_xlfn.XLOOKUP(E93,dim_lignes_achat!$L:$L,dim_lignes_achat!$H:$H,"",0,-1),"")</f>
        <v>172.5</v>
      </c>
      <c r="N93" t="s">
        <v>408</v>
      </c>
      <c r="O93" t="s">
        <v>420</v>
      </c>
      <c r="P93" t="str">
        <f>IF(ISNUMBER(MATCH(E93,dim_produits!$C:$C,0)),"OK","MANQUANT")</f>
        <v>OK</v>
      </c>
      <c r="Q93" t="str">
        <f>IF(ISNUMBER(MATCH(E93,dim_lignes_achat!$L:$L,0)),"OK","MANQUANT")</f>
        <v>OK</v>
      </c>
    </row>
    <row r="94" spans="1:17">
      <c r="A94">
        <f t="shared" si="4"/>
        <v>93</v>
      </c>
      <c r="B94" s="8">
        <v>46204</v>
      </c>
      <c r="C94" s="8">
        <v>46204</v>
      </c>
      <c r="D94">
        <f>IFERROR(_xlfn.XLOOKUP(E94,dim_produits!$C:$C,dim_produits!$A:$A,""),"")</f>
        <v>96</v>
      </c>
      <c r="E94" t="s">
        <v>252</v>
      </c>
      <c r="F94">
        <f>IF(E94="","",SUMIF(dim_lignes_achat!$L:$L,E94,dim_lignes_achat!$F:$F))</f>
        <v>12</v>
      </c>
      <c r="G94">
        <f>IF(E94="","",SUMIF(dim_lignes_vente!$I:$I,E94,dim_lignes_vente!$D:$D))</f>
        <v>0</v>
      </c>
      <c r="H94">
        <f>IF(E94="","",SUMIF(dim_pertes!$J:$J,E94,dim_pertes!$E:$E))</f>
        <v>12</v>
      </c>
      <c r="I94">
        <f t="shared" si="5"/>
        <v>0</v>
      </c>
      <c r="J94">
        <v>0</v>
      </c>
      <c r="K94">
        <f t="shared" si="6"/>
        <v>0</v>
      </c>
      <c r="L94" s="10">
        <f t="shared" si="7"/>
        <v>0</v>
      </c>
      <c r="M94" s="10">
        <f>IFERROR(_xlfn.XLOOKUP(E94,dim_lignes_achat!$L:$L,dim_lignes_achat!$H:$H,"",0,-1),"")</f>
        <v>45</v>
      </c>
      <c r="N94" t="s">
        <v>408</v>
      </c>
      <c r="O94" t="s">
        <v>420</v>
      </c>
      <c r="P94" t="str">
        <f>IF(ISNUMBER(MATCH(E94,dim_produits!$C:$C,0)),"OK","MANQUANT")</f>
        <v>OK</v>
      </c>
      <c r="Q94" t="str">
        <f>IF(ISNUMBER(MATCH(E94,dim_lignes_achat!$L:$L,0)),"OK","MANQUANT")</f>
        <v>OK</v>
      </c>
    </row>
    <row r="95" spans="1:17">
      <c r="A95">
        <f t="shared" si="4"/>
        <v>94</v>
      </c>
      <c r="B95" s="8">
        <v>46204</v>
      </c>
      <c r="C95" s="8">
        <v>46204</v>
      </c>
      <c r="D95">
        <f>IFERROR(_xlfn.XLOOKUP(E95,dim_produits!$C:$C,dim_produits!$A:$A,""),"")</f>
        <v>97</v>
      </c>
      <c r="E95" t="s">
        <v>350</v>
      </c>
      <c r="F95">
        <f>IF(E95="","",SUMIF(dim_lignes_achat!$L:$L,E95,dim_lignes_achat!$F:$F))</f>
        <v>200</v>
      </c>
      <c r="G95">
        <f>IF(E95="","",SUMIF(dim_lignes_vente!$I:$I,E95,dim_lignes_vente!$D:$D))</f>
        <v>20</v>
      </c>
      <c r="H95">
        <f>IF(E95="","",SUMIF(dim_pertes!$J:$J,E95,dim_pertes!$E:$E))</f>
        <v>0</v>
      </c>
      <c r="I95">
        <f t="shared" si="5"/>
        <v>180</v>
      </c>
      <c r="J95">
        <v>180</v>
      </c>
      <c r="K95">
        <f t="shared" si="6"/>
        <v>0</v>
      </c>
      <c r="L95" s="10">
        <f t="shared" si="7"/>
        <v>0</v>
      </c>
      <c r="M95" s="10">
        <f>IFERROR(_xlfn.XLOOKUP(E95,dim_lignes_achat!$L:$L,dim_lignes_achat!$H:$H,"",0,-1),"")</f>
        <v>19</v>
      </c>
      <c r="N95" t="s">
        <v>408</v>
      </c>
      <c r="O95" t="s">
        <v>420</v>
      </c>
      <c r="P95" t="str">
        <f>IF(ISNUMBER(MATCH(E95,dim_produits!$C:$C,0)),"OK","MANQUANT")</f>
        <v>OK</v>
      </c>
      <c r="Q95" t="str">
        <f>IF(ISNUMBER(MATCH(E95,dim_lignes_achat!$L:$L,0)),"OK","MANQUANT")</f>
        <v>OK</v>
      </c>
    </row>
    <row r="96" spans="1:17">
      <c r="A96">
        <f t="shared" si="4"/>
        <v>95</v>
      </c>
      <c r="B96" s="8">
        <v>46204</v>
      </c>
      <c r="C96" s="8">
        <v>46204</v>
      </c>
      <c r="D96">
        <f>IFERROR(_xlfn.XLOOKUP(E96,dim_produits!$C:$C,dim_produits!$A:$A,""),"")</f>
        <v>98</v>
      </c>
      <c r="E96" t="s">
        <v>159</v>
      </c>
      <c r="F96">
        <f>IF(E96="","",SUMIF(dim_lignes_achat!$L:$L,E96,dim_lignes_achat!$F:$F))</f>
        <v>200</v>
      </c>
      <c r="G96">
        <f>IF(E96="","",SUMIF(dim_lignes_vente!$I:$I,E96,dim_lignes_vente!$D:$D))</f>
        <v>5</v>
      </c>
      <c r="H96">
        <f>IF(E96="","",SUMIF(dim_pertes!$J:$J,E96,dim_pertes!$E:$E))</f>
        <v>0</v>
      </c>
      <c r="I96">
        <f t="shared" si="5"/>
        <v>195</v>
      </c>
      <c r="J96">
        <v>195</v>
      </c>
      <c r="K96">
        <f t="shared" si="6"/>
        <v>0</v>
      </c>
      <c r="L96" s="10">
        <f t="shared" si="7"/>
        <v>0</v>
      </c>
      <c r="M96" s="10">
        <f>IFERROR(_xlfn.XLOOKUP(E96,dim_lignes_achat!$L:$L,dim_lignes_achat!$H:$H,"",0,-1),"")</f>
        <v>39</v>
      </c>
      <c r="N96" t="s">
        <v>408</v>
      </c>
      <c r="O96" t="s">
        <v>420</v>
      </c>
      <c r="P96" t="str">
        <f>IF(ISNUMBER(MATCH(E96,dim_produits!$C:$C,0)),"OK","MANQUANT")</f>
        <v>OK</v>
      </c>
      <c r="Q96" t="str">
        <f>IF(ISNUMBER(MATCH(E96,dim_lignes_achat!$L:$L,0)),"OK","MANQUANT")</f>
        <v>OK</v>
      </c>
    </row>
    <row r="97" spans="1:17">
      <c r="A97">
        <f t="shared" si="4"/>
        <v>96</v>
      </c>
      <c r="B97" s="8">
        <v>46204</v>
      </c>
      <c r="C97" s="8">
        <v>46204</v>
      </c>
      <c r="D97">
        <f>IFERROR(_xlfn.XLOOKUP(E97,dim_produits!$C:$C,dim_produits!$A:$A,""),"")</f>
        <v>99</v>
      </c>
      <c r="E97" t="s">
        <v>163</v>
      </c>
      <c r="F97">
        <f>IF(E97="","",SUMIF(dim_lignes_achat!$L:$L,E97,dim_lignes_achat!$F:$F))</f>
        <v>200</v>
      </c>
      <c r="G97">
        <f>IF(E97="","",SUMIF(dim_lignes_vente!$I:$I,E97,dim_lignes_vente!$D:$D))</f>
        <v>8</v>
      </c>
      <c r="H97">
        <f>IF(E97="","",SUMIF(dim_pertes!$J:$J,E97,dim_pertes!$E:$E))</f>
        <v>0</v>
      </c>
      <c r="I97">
        <f t="shared" si="5"/>
        <v>192</v>
      </c>
      <c r="J97">
        <v>187</v>
      </c>
      <c r="K97">
        <f t="shared" si="6"/>
        <v>-5</v>
      </c>
      <c r="L97" s="10">
        <f t="shared" si="7"/>
        <v>-100</v>
      </c>
      <c r="M97" s="10">
        <f>IFERROR(_xlfn.XLOOKUP(E97,dim_lignes_achat!$L:$L,dim_lignes_achat!$H:$H,"",0,-1),"")</f>
        <v>20</v>
      </c>
      <c r="N97" t="s">
        <v>408</v>
      </c>
      <c r="O97" t="s">
        <v>420</v>
      </c>
      <c r="P97" t="str">
        <f>IF(ISNUMBER(MATCH(E97,dim_produits!$C:$C,0)),"OK","MANQUANT")</f>
        <v>OK</v>
      </c>
      <c r="Q97" t="str">
        <f>IF(ISNUMBER(MATCH(E97,dim_lignes_achat!$L:$L,0)),"OK","MANQUANT")</f>
        <v>OK</v>
      </c>
    </row>
    <row r="98" spans="1:17">
      <c r="A98">
        <f t="shared" si="4"/>
        <v>97</v>
      </c>
      <c r="B98" s="8">
        <v>46204</v>
      </c>
      <c r="C98" s="8">
        <v>46204</v>
      </c>
      <c r="D98">
        <f>IFERROR(_xlfn.XLOOKUP(E98,dim_produits!$C:$C,dim_produits!$A:$A,""),"")</f>
        <v>100</v>
      </c>
      <c r="E98" t="s">
        <v>192</v>
      </c>
      <c r="F98">
        <f>IF(E98="","",SUMIF(dim_lignes_achat!$L:$L,E98,dim_lignes_achat!$F:$F))</f>
        <v>12</v>
      </c>
      <c r="G98">
        <f>IF(E98="","",SUMIF(dim_lignes_vente!$I:$I,E98,dim_lignes_vente!$D:$D))</f>
        <v>0</v>
      </c>
      <c r="H98">
        <f>IF(E98="","",SUMIF(dim_pertes!$J:$J,E98,dim_pertes!$E:$E))</f>
        <v>0</v>
      </c>
      <c r="I98">
        <f t="shared" si="5"/>
        <v>12</v>
      </c>
      <c r="J98">
        <v>11</v>
      </c>
      <c r="K98">
        <f t="shared" si="6"/>
        <v>-1</v>
      </c>
      <c r="L98" s="10">
        <f t="shared" si="7"/>
        <v>-1666.6666666666667</v>
      </c>
      <c r="M98" s="10">
        <f>IFERROR(_xlfn.XLOOKUP(E98,dim_lignes_achat!$L:$L,dim_lignes_achat!$H:$H,"",0,-1),"")</f>
        <v>1666.6666666666667</v>
      </c>
      <c r="N98" t="s">
        <v>408</v>
      </c>
      <c r="O98" t="s">
        <v>420</v>
      </c>
      <c r="P98" t="str">
        <f>IF(ISNUMBER(MATCH(E98,dim_produits!$C:$C,0)),"OK","MANQUANT")</f>
        <v>OK</v>
      </c>
      <c r="Q98" t="str">
        <f>IF(ISNUMBER(MATCH(E98,dim_lignes_achat!$L:$L,0)),"OK","MANQUANT")</f>
        <v>OK</v>
      </c>
    </row>
    <row r="99" spans="1:17">
      <c r="A99">
        <f t="shared" si="4"/>
        <v>98</v>
      </c>
      <c r="B99" s="8">
        <v>46204</v>
      </c>
      <c r="C99" s="8">
        <v>46204</v>
      </c>
      <c r="D99">
        <f>IFERROR(_xlfn.XLOOKUP(E99,dim_produits!$C:$C,dim_produits!$A:$A,""),"")</f>
        <v>101</v>
      </c>
      <c r="E99" t="s">
        <v>185</v>
      </c>
      <c r="F99">
        <f>IF(E99="","",SUMIF(dim_lignes_achat!$L:$L,E99,dim_lignes_achat!$F:$F))</f>
        <v>12</v>
      </c>
      <c r="G99">
        <f>IF(E99="","",SUMIF(dim_lignes_vente!$I:$I,E99,dim_lignes_vente!$D:$D))</f>
        <v>0</v>
      </c>
      <c r="H99">
        <f>IF(E99="","",SUMIF(dim_pertes!$J:$J,E99,dim_pertes!$E:$E))</f>
        <v>0</v>
      </c>
      <c r="I99">
        <f t="shared" si="5"/>
        <v>12</v>
      </c>
      <c r="J99">
        <v>12</v>
      </c>
      <c r="K99">
        <f t="shared" si="6"/>
        <v>0</v>
      </c>
      <c r="L99" s="10">
        <f t="shared" si="7"/>
        <v>0</v>
      </c>
      <c r="M99" s="10">
        <f>IFERROR(_xlfn.XLOOKUP(E99,dim_lignes_achat!$L:$L,dim_lignes_achat!$H:$H,"",0,-1),"")</f>
        <v>958.33333333333337</v>
      </c>
      <c r="N99" t="s">
        <v>408</v>
      </c>
      <c r="O99" t="s">
        <v>420</v>
      </c>
      <c r="P99" t="str">
        <f>IF(ISNUMBER(MATCH(E99,dim_produits!$C:$C,0)),"OK","MANQUANT")</f>
        <v>OK</v>
      </c>
      <c r="Q99" t="str">
        <f>IF(ISNUMBER(MATCH(E99,dim_lignes_achat!$L:$L,0)),"OK","MANQUANT")</f>
        <v>OK</v>
      </c>
    </row>
    <row r="100" spans="1:17">
      <c r="A100">
        <f t="shared" si="4"/>
        <v>99</v>
      </c>
      <c r="B100" s="8">
        <v>46204</v>
      </c>
      <c r="C100" s="8">
        <v>46204</v>
      </c>
      <c r="D100">
        <f>IFERROR(_xlfn.XLOOKUP(E100,dim_produits!$C:$C,dim_produits!$A:$A,""),"")</f>
        <v>102</v>
      </c>
      <c r="E100" t="s">
        <v>172</v>
      </c>
      <c r="F100">
        <f>IF(E100="","",SUMIF(dim_lignes_achat!$L:$L,E100,dim_lignes_achat!$F:$F))</f>
        <v>12</v>
      </c>
      <c r="G100">
        <f>IF(E100="","",SUMIF(dim_lignes_vente!$I:$I,E100,dim_lignes_vente!$D:$D))</f>
        <v>1</v>
      </c>
      <c r="H100">
        <f>IF(E100="","",SUMIF(dim_pertes!$J:$J,E100,dim_pertes!$E:$E))</f>
        <v>0</v>
      </c>
      <c r="I100">
        <f t="shared" si="5"/>
        <v>11</v>
      </c>
      <c r="J100">
        <v>11</v>
      </c>
      <c r="K100">
        <f t="shared" si="6"/>
        <v>0</v>
      </c>
      <c r="L100" s="10">
        <f t="shared" si="7"/>
        <v>0</v>
      </c>
      <c r="M100" s="10">
        <f>IFERROR(_xlfn.XLOOKUP(E100,dim_lignes_achat!$L:$L,dim_lignes_achat!$H:$H,"",0,-1),"")</f>
        <v>1000</v>
      </c>
      <c r="N100" t="s">
        <v>408</v>
      </c>
      <c r="O100" t="s">
        <v>420</v>
      </c>
      <c r="P100" t="str">
        <f>IF(ISNUMBER(MATCH(E100,dim_produits!$C:$C,0)),"OK","MANQUANT")</f>
        <v>OK</v>
      </c>
      <c r="Q100" t="str">
        <f>IF(ISNUMBER(MATCH(E100,dim_lignes_achat!$L:$L,0)),"OK","MANQUANT")</f>
        <v>OK</v>
      </c>
    </row>
    <row r="101" spans="1:17">
      <c r="A101">
        <f t="shared" si="4"/>
        <v>100</v>
      </c>
      <c r="B101" s="8">
        <v>46204</v>
      </c>
      <c r="C101" s="8">
        <v>46204</v>
      </c>
      <c r="D101">
        <f>IFERROR(_xlfn.XLOOKUP(E101,dim_produits!$C:$C,dim_produits!$A:$A,""),"")</f>
        <v>103</v>
      </c>
      <c r="E101" t="s">
        <v>173</v>
      </c>
      <c r="F101">
        <f>IF(E101="","",SUMIF(dim_lignes_achat!$L:$L,E101,dim_lignes_achat!$F:$F))</f>
        <v>12</v>
      </c>
      <c r="G101">
        <f>IF(E101="","",SUMIF(dim_lignes_vente!$I:$I,E101,dim_lignes_vente!$D:$D))</f>
        <v>0</v>
      </c>
      <c r="H101">
        <f>IF(E101="","",SUMIF(dim_pertes!$J:$J,E101,dim_pertes!$E:$E))</f>
        <v>0</v>
      </c>
      <c r="I101">
        <f t="shared" si="5"/>
        <v>12</v>
      </c>
      <c r="J101">
        <v>12</v>
      </c>
      <c r="K101">
        <f t="shared" si="6"/>
        <v>0</v>
      </c>
      <c r="L101" s="10">
        <f t="shared" si="7"/>
        <v>0</v>
      </c>
      <c r="M101" s="10">
        <f>IFERROR(_xlfn.XLOOKUP(E101,dim_lignes_achat!$L:$L,dim_lignes_achat!$H:$H,"",0,-1),"")</f>
        <v>958.33333333333337</v>
      </c>
      <c r="N101" t="s">
        <v>408</v>
      </c>
      <c r="O101" t="s">
        <v>420</v>
      </c>
      <c r="P101" t="str">
        <f>IF(ISNUMBER(MATCH(E101,dim_produits!$C:$C,0)),"OK","MANQUANT")</f>
        <v>OK</v>
      </c>
      <c r="Q101" t="str">
        <f>IF(ISNUMBER(MATCH(E101,dim_lignes_achat!$L:$L,0)),"OK","MANQUANT")</f>
        <v>OK</v>
      </c>
    </row>
    <row r="102" spans="1:17">
      <c r="A102">
        <f t="shared" si="4"/>
        <v>101</v>
      </c>
      <c r="B102" s="8">
        <v>46204</v>
      </c>
      <c r="C102" s="8">
        <v>46204</v>
      </c>
      <c r="D102">
        <f>IFERROR(_xlfn.XLOOKUP(E102,dim_produits!$C:$C,dim_produits!$A:$A,""),"")</f>
        <v>104</v>
      </c>
      <c r="E102" t="s">
        <v>174</v>
      </c>
      <c r="F102">
        <f>IF(E102="","",SUMIF(dim_lignes_achat!$L:$L,E102,dim_lignes_achat!$F:$F))</f>
        <v>12</v>
      </c>
      <c r="G102">
        <f>IF(E102="","",SUMIF(dim_lignes_vente!$I:$I,E102,dim_lignes_vente!$D:$D))</f>
        <v>0</v>
      </c>
      <c r="H102">
        <f>IF(E102="","",SUMIF(dim_pertes!$J:$J,E102,dim_pertes!$E:$E))</f>
        <v>0</v>
      </c>
      <c r="I102">
        <f t="shared" si="5"/>
        <v>12</v>
      </c>
      <c r="J102">
        <v>12</v>
      </c>
      <c r="K102">
        <f t="shared" si="6"/>
        <v>0</v>
      </c>
      <c r="L102" s="10">
        <f t="shared" si="7"/>
        <v>0</v>
      </c>
      <c r="M102" s="10">
        <f>IFERROR(_xlfn.XLOOKUP(E102,dim_lignes_achat!$L:$L,dim_lignes_achat!$H:$H,"",0,-1),"")</f>
        <v>625</v>
      </c>
      <c r="N102" t="s">
        <v>408</v>
      </c>
      <c r="O102" t="s">
        <v>420</v>
      </c>
      <c r="P102" t="str">
        <f>IF(ISNUMBER(MATCH(E102,dim_produits!$C:$C,0)),"OK","MANQUANT")</f>
        <v>OK</v>
      </c>
      <c r="Q102" t="str">
        <f>IF(ISNUMBER(MATCH(E102,dim_lignes_achat!$L:$L,0)),"OK","MANQUANT")</f>
        <v>OK</v>
      </c>
    </row>
    <row r="103" spans="1:17">
      <c r="A103">
        <f t="shared" si="4"/>
        <v>102</v>
      </c>
      <c r="B103" s="8">
        <v>46204</v>
      </c>
      <c r="C103" s="8">
        <v>46204</v>
      </c>
      <c r="D103">
        <f>IFERROR(_xlfn.XLOOKUP(E103,dim_produits!$C:$C,dim_produits!$A:$A,""),"")</f>
        <v>105</v>
      </c>
      <c r="E103" t="s">
        <v>351</v>
      </c>
      <c r="F103">
        <f>IF(E103="","",SUMIF(dim_lignes_achat!$L:$L,E103,dim_lignes_achat!$F:$F))</f>
        <v>7</v>
      </c>
      <c r="G103">
        <f>IF(E103="","",SUMIF(dim_lignes_vente!$I:$I,E103,dim_lignes_vente!$D:$D))</f>
        <v>3</v>
      </c>
      <c r="H103">
        <f>IF(E103="","",SUMIF(dim_pertes!$J:$J,E103,dim_pertes!$E:$E))</f>
        <v>0</v>
      </c>
      <c r="I103">
        <f t="shared" si="5"/>
        <v>4</v>
      </c>
      <c r="J103">
        <v>4</v>
      </c>
      <c r="K103">
        <f t="shared" si="6"/>
        <v>0</v>
      </c>
      <c r="L103" s="10">
        <f t="shared" si="7"/>
        <v>0</v>
      </c>
      <c r="M103" s="10">
        <f>IFERROR(_xlfn.XLOOKUP(E103,dim_lignes_achat!$L:$L,dim_lignes_achat!$H:$H,"",0,-1),"")</f>
        <v>30</v>
      </c>
      <c r="N103" t="s">
        <v>408</v>
      </c>
      <c r="O103" t="s">
        <v>420</v>
      </c>
      <c r="P103" t="str">
        <f>IF(ISNUMBER(MATCH(E103,dim_produits!$C:$C,0)),"OK","MANQUANT")</f>
        <v>OK</v>
      </c>
      <c r="Q103" t="str">
        <f>IF(ISNUMBER(MATCH(E103,dim_lignes_achat!$L:$L,0)),"OK","MANQUANT")</f>
        <v>OK</v>
      </c>
    </row>
    <row r="104" spans="1:17">
      <c r="A104">
        <f t="shared" si="4"/>
        <v>103</v>
      </c>
      <c r="B104" s="8">
        <v>46204</v>
      </c>
      <c r="C104" s="8">
        <v>46204</v>
      </c>
      <c r="D104">
        <f>IFERROR(_xlfn.XLOOKUP(E104,dim_produits!$C:$C,dim_produits!$A:$A,""),"")</f>
        <v>55</v>
      </c>
      <c r="E104" t="s">
        <v>369</v>
      </c>
      <c r="F104">
        <f>IF(E104="","",SUMIF(dim_lignes_achat!$L:$L,E104,dim_lignes_achat!$F:$F))</f>
        <v>15</v>
      </c>
      <c r="G104">
        <f>IF(E104="","",SUMIF(dim_lignes_vente!$I:$I,E104,dim_lignes_vente!$D:$D))</f>
        <v>20</v>
      </c>
      <c r="H104">
        <f>IF(E104="","",SUMIF(dim_pertes!$J:$J,E104,dim_pertes!$E:$E))</f>
        <v>0</v>
      </c>
      <c r="I104">
        <f t="shared" si="5"/>
        <v>-5</v>
      </c>
      <c r="J104">
        <v>3</v>
      </c>
      <c r="K104">
        <f t="shared" si="6"/>
        <v>8</v>
      </c>
      <c r="L104" s="10">
        <f t="shared" si="7"/>
        <v>5190.3999999999996</v>
      </c>
      <c r="M104" s="10">
        <f>IFERROR(_xlfn.XLOOKUP(E104,dim_lignes_achat!$L:$L,dim_lignes_achat!$H:$H,"",0,-1),"")</f>
        <v>648.79999999999995</v>
      </c>
      <c r="N104" t="s">
        <v>408</v>
      </c>
      <c r="O104" t="s">
        <v>420</v>
      </c>
      <c r="P104" t="str">
        <f>IF(ISNUMBER(MATCH(E104,dim_produits!$C:$C,0)),"OK","MANQUANT")</f>
        <v>OK</v>
      </c>
      <c r="Q104" t="str">
        <f>IF(ISNUMBER(MATCH(E104,dim_lignes_achat!$L:$L,0)),"OK","MANQUANT")</f>
        <v>OK</v>
      </c>
    </row>
    <row r="105" spans="1:17">
      <c r="F105" t="str">
        <f>IF(E105="","",SUMIF(dim_lignes_achat!$L:$L,E105,dim_lignes_achat!$F:$F))</f>
        <v/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F879-5770-4AB3-8E30-5021B4D13DB5}">
  <sheetPr>
    <pageSetUpPr fitToPage="1"/>
  </sheetPr>
  <dimension ref="A1:M168"/>
  <sheetViews>
    <sheetView tabSelected="1" zoomScale="83" zoomScaleNormal="83" workbookViewId="0">
      <pane xSplit="9" ySplit="1" topLeftCell="J96" activePane="bottomRight" state="frozen"/>
      <selection pane="topRight" activeCell="J1" sqref="J1"/>
      <selection pane="bottomLeft" activeCell="A2" sqref="A2"/>
      <selection pane="bottomRight" activeCell="B105" sqref="B105"/>
    </sheetView>
  </sheetViews>
  <sheetFormatPr baseColWidth="10" defaultRowHeight="14.4"/>
  <cols>
    <col min="1" max="1" width="42.44140625" bestFit="1" customWidth="1"/>
    <col min="2" max="2" width="42.44140625" customWidth="1"/>
    <col min="3" max="3" width="17.21875" bestFit="1" customWidth="1"/>
    <col min="4" max="4" width="8" bestFit="1" customWidth="1"/>
    <col min="5" max="5" width="19.88671875" customWidth="1"/>
    <col min="6" max="6" width="20.109375" customWidth="1"/>
    <col min="7" max="7" width="18.21875" bestFit="1" customWidth="1"/>
    <col min="8" max="8" width="17.5546875" bestFit="1" customWidth="1"/>
    <col min="12" max="13" width="15.5546875" customWidth="1"/>
  </cols>
  <sheetData>
    <row r="1" spans="1:13" ht="18.600000000000001" thickBot="1">
      <c r="A1" s="75" t="s">
        <v>4</v>
      </c>
      <c r="B1" s="75" t="s">
        <v>376</v>
      </c>
      <c r="C1" s="75" t="s">
        <v>283</v>
      </c>
      <c r="D1" s="75" t="s">
        <v>62</v>
      </c>
      <c r="E1" s="75" t="s">
        <v>72</v>
      </c>
      <c r="F1" s="90" t="s">
        <v>73</v>
      </c>
      <c r="G1" s="74" t="s">
        <v>140</v>
      </c>
      <c r="H1" s="91" t="s">
        <v>141</v>
      </c>
      <c r="I1" s="76" t="s">
        <v>142</v>
      </c>
      <c r="J1" s="69"/>
      <c r="K1" s="69"/>
      <c r="L1" s="69" t="s">
        <v>409</v>
      </c>
      <c r="M1" s="69" t="s">
        <v>410</v>
      </c>
    </row>
    <row r="2" spans="1:13">
      <c r="A2" s="29" t="s">
        <v>179</v>
      </c>
      <c r="B2" s="29"/>
      <c r="C2" s="29" t="s">
        <v>265</v>
      </c>
      <c r="D2" s="29" t="s">
        <v>266</v>
      </c>
      <c r="E2" s="73">
        <v>46143</v>
      </c>
      <c r="F2" s="85"/>
      <c r="G2" s="72"/>
      <c r="H2" s="88">
        <v>100</v>
      </c>
      <c r="I2" s="72"/>
    </row>
    <row r="3" spans="1:13">
      <c r="A3" s="29" t="s">
        <v>165</v>
      </c>
      <c r="B3" s="29"/>
      <c r="C3" s="29" t="s">
        <v>98</v>
      </c>
      <c r="D3" s="29" t="s">
        <v>105</v>
      </c>
      <c r="E3" s="70">
        <v>46143</v>
      </c>
      <c r="F3" s="86"/>
      <c r="G3" s="29"/>
      <c r="H3" s="89">
        <v>240</v>
      </c>
      <c r="I3" s="29"/>
    </row>
    <row r="4" spans="1:13">
      <c r="A4" s="29" t="s">
        <v>166</v>
      </c>
      <c r="B4" s="29"/>
      <c r="C4" s="29" t="s">
        <v>98</v>
      </c>
      <c r="D4" s="29" t="s">
        <v>105</v>
      </c>
      <c r="E4" s="70">
        <v>46143</v>
      </c>
      <c r="F4" s="86"/>
      <c r="G4" s="29"/>
      <c r="H4" s="89">
        <v>108</v>
      </c>
      <c r="I4" s="29"/>
    </row>
    <row r="5" spans="1:13">
      <c r="A5" s="29" t="s">
        <v>168</v>
      </c>
      <c r="B5" s="29"/>
      <c r="C5" s="29" t="s">
        <v>98</v>
      </c>
      <c r="D5" s="29" t="s">
        <v>105</v>
      </c>
      <c r="E5" s="70">
        <v>46143</v>
      </c>
      <c r="F5" s="86"/>
      <c r="G5" s="29"/>
      <c r="H5" s="89">
        <v>93</v>
      </c>
      <c r="I5" s="29"/>
    </row>
    <row r="6" spans="1:13">
      <c r="A6" s="29" t="s">
        <v>193</v>
      </c>
      <c r="B6" s="29"/>
      <c r="C6" s="29" t="s">
        <v>275</v>
      </c>
      <c r="D6" s="29" t="s">
        <v>49</v>
      </c>
      <c r="E6" s="70">
        <v>46143</v>
      </c>
      <c r="F6" s="86"/>
      <c r="G6" s="29"/>
      <c r="H6" s="89">
        <v>110</v>
      </c>
      <c r="I6" s="29"/>
    </row>
    <row r="7" spans="1:13">
      <c r="A7" s="29" t="s">
        <v>197</v>
      </c>
      <c r="B7" s="29"/>
      <c r="C7" s="29" t="s">
        <v>275</v>
      </c>
      <c r="D7" s="29" t="s">
        <v>49</v>
      </c>
      <c r="E7" s="70">
        <v>46143</v>
      </c>
      <c r="F7" s="86"/>
      <c r="G7" s="29"/>
      <c r="H7" s="89">
        <v>56</v>
      </c>
      <c r="I7" s="29"/>
    </row>
    <row r="8" spans="1:13">
      <c r="A8" s="29" t="s">
        <v>220</v>
      </c>
      <c r="B8" s="29"/>
      <c r="C8" s="29" t="s">
        <v>276</v>
      </c>
      <c r="D8" s="29" t="s">
        <v>54</v>
      </c>
      <c r="E8" s="70">
        <v>46143</v>
      </c>
      <c r="F8" s="86"/>
      <c r="G8" s="29"/>
      <c r="H8" s="89">
        <v>48</v>
      </c>
      <c r="I8" s="29"/>
    </row>
    <row r="9" spans="1:13">
      <c r="A9" s="93" t="s">
        <v>221</v>
      </c>
      <c r="B9" s="29" t="s">
        <v>401</v>
      </c>
      <c r="C9" s="29" t="s">
        <v>276</v>
      </c>
      <c r="D9" s="29" t="s">
        <v>54</v>
      </c>
      <c r="E9" s="70">
        <v>46143</v>
      </c>
      <c r="F9" s="86"/>
      <c r="G9" s="29"/>
      <c r="H9" s="30">
        <v>0</v>
      </c>
      <c r="I9" s="29"/>
    </row>
    <row r="10" spans="1:13">
      <c r="A10" s="29" t="s">
        <v>222</v>
      </c>
      <c r="B10" s="29"/>
      <c r="C10" s="29" t="s">
        <v>277</v>
      </c>
      <c r="D10" s="29" t="s">
        <v>54</v>
      </c>
      <c r="E10" s="70">
        <v>46143</v>
      </c>
      <c r="F10" s="86"/>
      <c r="G10" s="29"/>
      <c r="H10" s="89">
        <v>16</v>
      </c>
      <c r="I10" s="29"/>
    </row>
    <row r="11" spans="1:13">
      <c r="A11" s="29" t="s">
        <v>227</v>
      </c>
      <c r="B11" s="29"/>
      <c r="C11" s="29" t="s">
        <v>277</v>
      </c>
      <c r="D11" s="29" t="s">
        <v>54</v>
      </c>
      <c r="E11" s="70">
        <v>46143</v>
      </c>
      <c r="F11" s="86"/>
      <c r="G11" s="29"/>
      <c r="H11" s="89">
        <v>1</v>
      </c>
      <c r="I11" s="29"/>
    </row>
    <row r="12" spans="1:13">
      <c r="A12" s="29" t="s">
        <v>223</v>
      </c>
      <c r="B12" s="29"/>
      <c r="C12" s="29" t="s">
        <v>277</v>
      </c>
      <c r="D12" s="29" t="s">
        <v>54</v>
      </c>
      <c r="E12" s="70">
        <v>46143</v>
      </c>
      <c r="F12" s="86"/>
      <c r="G12" s="29"/>
      <c r="H12" s="89">
        <v>6</v>
      </c>
      <c r="I12" s="29"/>
    </row>
    <row r="13" spans="1:13">
      <c r="A13" s="29" t="s">
        <v>229</v>
      </c>
      <c r="B13" s="29"/>
      <c r="C13" s="29" t="s">
        <v>277</v>
      </c>
      <c r="D13" s="29" t="s">
        <v>54</v>
      </c>
      <c r="E13" s="70">
        <v>46143</v>
      </c>
      <c r="F13" s="86"/>
      <c r="G13" s="29"/>
      <c r="H13" s="89">
        <v>24</v>
      </c>
      <c r="I13" s="29"/>
    </row>
    <row r="14" spans="1:13">
      <c r="A14" s="29" t="s">
        <v>233</v>
      </c>
      <c r="B14" s="29"/>
      <c r="C14" s="29" t="s">
        <v>277</v>
      </c>
      <c r="D14" s="29" t="s">
        <v>54</v>
      </c>
      <c r="E14" s="70">
        <v>46143</v>
      </c>
      <c r="F14" s="86"/>
      <c r="G14" s="29"/>
      <c r="H14" s="89">
        <v>18</v>
      </c>
      <c r="I14" s="29"/>
    </row>
    <row r="15" spans="1:13">
      <c r="A15" s="29" t="s">
        <v>373</v>
      </c>
      <c r="B15" s="29"/>
      <c r="C15" s="29" t="s">
        <v>277</v>
      </c>
      <c r="D15" s="29" t="s">
        <v>54</v>
      </c>
      <c r="E15" s="70">
        <v>46143</v>
      </c>
      <c r="F15" s="86"/>
      <c r="G15" s="29"/>
      <c r="H15" s="89">
        <v>45</v>
      </c>
      <c r="I15" s="29"/>
    </row>
    <row r="16" spans="1:13">
      <c r="A16" s="29" t="s">
        <v>230</v>
      </c>
      <c r="B16" s="29"/>
      <c r="C16" s="29" t="s">
        <v>277</v>
      </c>
      <c r="D16" s="29" t="s">
        <v>54</v>
      </c>
      <c r="E16" s="70">
        <v>46143</v>
      </c>
      <c r="F16" s="86"/>
      <c r="G16" s="29"/>
      <c r="H16" s="89">
        <v>22</v>
      </c>
      <c r="I16" s="29"/>
    </row>
    <row r="17" spans="1:9">
      <c r="A17" s="29" t="s">
        <v>224</v>
      </c>
      <c r="B17" s="29"/>
      <c r="C17" s="29" t="s">
        <v>277</v>
      </c>
      <c r="D17" s="29" t="s">
        <v>54</v>
      </c>
      <c r="E17" s="70">
        <v>46143</v>
      </c>
      <c r="F17" s="86"/>
      <c r="G17" s="29"/>
      <c r="H17" s="89">
        <v>1</v>
      </c>
      <c r="I17" s="29"/>
    </row>
    <row r="18" spans="1:9">
      <c r="A18" s="29" t="s">
        <v>225</v>
      </c>
      <c r="B18" s="29"/>
      <c r="C18" s="29" t="s">
        <v>277</v>
      </c>
      <c r="D18" s="29" t="s">
        <v>54</v>
      </c>
      <c r="E18" s="70">
        <v>46143</v>
      </c>
      <c r="F18" s="86"/>
      <c r="G18" s="29"/>
      <c r="H18" s="89">
        <v>22</v>
      </c>
      <c r="I18" s="29"/>
    </row>
    <row r="19" spans="1:9">
      <c r="A19" s="29" t="s">
        <v>228</v>
      </c>
      <c r="B19" s="29"/>
      <c r="C19" s="29" t="s">
        <v>277</v>
      </c>
      <c r="D19" s="29" t="s">
        <v>54</v>
      </c>
      <c r="E19" s="70">
        <v>46143</v>
      </c>
      <c r="F19" s="86"/>
      <c r="G19" s="29"/>
      <c r="H19" s="89">
        <v>10</v>
      </c>
      <c r="I19" s="29"/>
    </row>
    <row r="20" spans="1:9">
      <c r="A20" s="29" t="s">
        <v>186</v>
      </c>
      <c r="B20" s="29"/>
      <c r="C20" s="29" t="s">
        <v>49</v>
      </c>
      <c r="D20" s="29" t="s">
        <v>49</v>
      </c>
      <c r="E20" s="70">
        <v>46143</v>
      </c>
      <c r="F20" s="86"/>
      <c r="G20" s="29"/>
      <c r="H20" s="89">
        <v>23</v>
      </c>
      <c r="I20" s="29"/>
    </row>
    <row r="21" spans="1:9">
      <c r="A21" s="29" t="s">
        <v>187</v>
      </c>
      <c r="B21" s="29"/>
      <c r="C21" s="29" t="s">
        <v>49</v>
      </c>
      <c r="D21" s="29" t="s">
        <v>49</v>
      </c>
      <c r="E21" s="70">
        <v>46143</v>
      </c>
      <c r="F21" s="86"/>
      <c r="G21" s="29"/>
      <c r="H21" s="89">
        <v>24</v>
      </c>
      <c r="I21" s="29"/>
    </row>
    <row r="22" spans="1:9">
      <c r="A22" s="29" t="s">
        <v>188</v>
      </c>
      <c r="B22" s="29"/>
      <c r="C22" s="29" t="s">
        <v>49</v>
      </c>
      <c r="D22" s="29" t="s">
        <v>49</v>
      </c>
      <c r="E22" s="70">
        <v>45882</v>
      </c>
      <c r="F22" s="87"/>
      <c r="G22" s="29"/>
      <c r="H22" s="89">
        <v>24</v>
      </c>
      <c r="I22" s="29"/>
    </row>
    <row r="23" spans="1:9">
      <c r="A23" s="29" t="s">
        <v>189</v>
      </c>
      <c r="B23" s="29"/>
      <c r="C23" s="29" t="s">
        <v>49</v>
      </c>
      <c r="D23" s="29" t="s">
        <v>49</v>
      </c>
      <c r="E23" s="70">
        <v>46094</v>
      </c>
      <c r="F23" s="87"/>
      <c r="G23" s="29"/>
      <c r="H23" s="89">
        <v>24</v>
      </c>
      <c r="I23" s="29"/>
    </row>
    <row r="24" spans="1:9">
      <c r="A24" s="29" t="s">
        <v>190</v>
      </c>
      <c r="B24" s="29"/>
      <c r="C24" s="29" t="s">
        <v>49</v>
      </c>
      <c r="D24" s="29" t="s">
        <v>49</v>
      </c>
      <c r="E24" s="70">
        <v>46094</v>
      </c>
      <c r="F24" s="87"/>
      <c r="G24" s="29"/>
      <c r="H24" s="89">
        <v>23</v>
      </c>
      <c r="I24" s="29"/>
    </row>
    <row r="25" spans="1:9">
      <c r="A25" s="29" t="s">
        <v>191</v>
      </c>
      <c r="B25" s="29"/>
      <c r="C25" s="29" t="s">
        <v>49</v>
      </c>
      <c r="D25" s="29" t="s">
        <v>49</v>
      </c>
      <c r="E25" s="70">
        <v>46143</v>
      </c>
      <c r="F25" s="86"/>
      <c r="G25" s="29"/>
      <c r="H25" s="89">
        <v>23</v>
      </c>
      <c r="I25" s="29"/>
    </row>
    <row r="26" spans="1:9">
      <c r="A26" s="29" t="s">
        <v>160</v>
      </c>
      <c r="B26" s="29"/>
      <c r="C26" s="71" t="s">
        <v>97</v>
      </c>
      <c r="D26" s="29" t="s">
        <v>105</v>
      </c>
      <c r="E26" s="70">
        <v>46143</v>
      </c>
      <c r="F26" s="86"/>
      <c r="G26" s="29"/>
      <c r="H26" s="89">
        <v>48</v>
      </c>
      <c r="I26" s="29"/>
    </row>
    <row r="27" spans="1:9">
      <c r="A27" s="29" t="s">
        <v>176</v>
      </c>
      <c r="B27" s="29"/>
      <c r="C27" s="71" t="s">
        <v>280</v>
      </c>
      <c r="D27" s="29" t="s">
        <v>272</v>
      </c>
      <c r="E27" s="70">
        <v>46143</v>
      </c>
      <c r="F27" s="86"/>
      <c r="G27" s="29"/>
      <c r="H27" s="89">
        <v>49</v>
      </c>
      <c r="I27" s="29"/>
    </row>
    <row r="28" spans="1:9">
      <c r="A28" s="29" t="s">
        <v>177</v>
      </c>
      <c r="B28" s="29"/>
      <c r="C28" s="71" t="s">
        <v>96</v>
      </c>
      <c r="D28" s="29" t="s">
        <v>105</v>
      </c>
      <c r="E28" s="70">
        <v>46143</v>
      </c>
      <c r="F28" s="86"/>
      <c r="G28" s="29"/>
      <c r="H28" s="89">
        <v>44</v>
      </c>
      <c r="I28" s="29"/>
    </row>
    <row r="29" spans="1:9">
      <c r="A29" s="29" t="s">
        <v>267</v>
      </c>
      <c r="B29" s="29"/>
      <c r="C29" s="71" t="s">
        <v>96</v>
      </c>
      <c r="D29" s="29" t="s">
        <v>268</v>
      </c>
      <c r="E29" s="70">
        <v>46143</v>
      </c>
      <c r="F29" s="86"/>
      <c r="G29" s="29"/>
      <c r="H29" s="89">
        <v>78</v>
      </c>
      <c r="I29" s="29"/>
    </row>
    <row r="30" spans="1:9">
      <c r="A30" s="29" t="s">
        <v>184</v>
      </c>
      <c r="B30" s="29"/>
      <c r="C30" s="71" t="s">
        <v>90</v>
      </c>
      <c r="D30" s="29" t="s">
        <v>105</v>
      </c>
      <c r="E30" s="70">
        <v>46143</v>
      </c>
      <c r="F30" s="86"/>
      <c r="G30" s="29"/>
      <c r="H30" s="89">
        <v>45</v>
      </c>
      <c r="I30" s="29"/>
    </row>
    <row r="31" spans="1:9">
      <c r="A31" s="30" t="s">
        <v>254</v>
      </c>
      <c r="B31" s="29"/>
      <c r="C31" s="71" t="s">
        <v>63</v>
      </c>
      <c r="D31" s="29" t="s">
        <v>105</v>
      </c>
      <c r="E31" s="70">
        <v>46143</v>
      </c>
      <c r="F31" s="86"/>
      <c r="G31" s="29"/>
      <c r="H31" s="30"/>
      <c r="I31" s="29"/>
    </row>
    <row r="32" spans="1:9">
      <c r="A32" s="102" t="s">
        <v>200</v>
      </c>
      <c r="B32" s="102" t="s">
        <v>393</v>
      </c>
      <c r="C32" s="71" t="s">
        <v>52</v>
      </c>
      <c r="D32" s="29" t="s">
        <v>104</v>
      </c>
      <c r="E32" s="70">
        <v>46143</v>
      </c>
      <c r="F32" s="86"/>
      <c r="G32" s="29"/>
      <c r="H32" s="30">
        <v>0</v>
      </c>
      <c r="I32" s="29"/>
    </row>
    <row r="33" spans="1:9">
      <c r="A33" s="29" t="s">
        <v>211</v>
      </c>
      <c r="B33" s="29"/>
      <c r="C33" s="29" t="s">
        <v>52</v>
      </c>
      <c r="D33" s="29" t="s">
        <v>54</v>
      </c>
      <c r="E33" s="70">
        <v>46143</v>
      </c>
      <c r="F33" s="86"/>
      <c r="G33" s="29"/>
      <c r="H33" s="89">
        <v>24</v>
      </c>
      <c r="I33" s="29"/>
    </row>
    <row r="34" spans="1:9">
      <c r="A34" s="29" t="s">
        <v>212</v>
      </c>
      <c r="B34" s="29"/>
      <c r="C34" s="29" t="s">
        <v>52</v>
      </c>
      <c r="D34" s="29" t="s">
        <v>54</v>
      </c>
      <c r="E34" s="70">
        <v>46143</v>
      </c>
      <c r="F34" s="86"/>
      <c r="G34" s="29"/>
      <c r="H34" s="89">
        <v>18</v>
      </c>
      <c r="I34" s="29"/>
    </row>
    <row r="35" spans="1:9">
      <c r="A35" s="29" t="s">
        <v>213</v>
      </c>
      <c r="B35" s="29"/>
      <c r="C35" s="29" t="s">
        <v>52</v>
      </c>
      <c r="D35" s="29" t="s">
        <v>54</v>
      </c>
      <c r="E35" s="70">
        <v>46143</v>
      </c>
      <c r="F35" s="86"/>
      <c r="G35" s="29"/>
      <c r="H35" s="89">
        <v>7</v>
      </c>
      <c r="I35" s="29"/>
    </row>
    <row r="36" spans="1:9">
      <c r="A36" s="29" t="s">
        <v>214</v>
      </c>
      <c r="B36" s="29"/>
      <c r="C36" s="29" t="s">
        <v>52</v>
      </c>
      <c r="D36" s="29" t="s">
        <v>54</v>
      </c>
      <c r="E36" s="70">
        <v>46143</v>
      </c>
      <c r="F36" s="86"/>
      <c r="G36" s="29"/>
      <c r="H36" s="89">
        <v>24</v>
      </c>
      <c r="I36" s="29"/>
    </row>
    <row r="37" spans="1:9">
      <c r="A37" s="94" t="s">
        <v>215</v>
      </c>
      <c r="B37" s="29"/>
      <c r="C37" s="29" t="s">
        <v>52</v>
      </c>
      <c r="D37" s="29" t="s">
        <v>54</v>
      </c>
      <c r="E37" s="70">
        <v>46143</v>
      </c>
      <c r="F37" s="86"/>
      <c r="G37" s="29"/>
      <c r="H37" s="94">
        <v>51</v>
      </c>
      <c r="I37" s="94"/>
    </row>
    <row r="38" spans="1:9">
      <c r="A38" s="94" t="s">
        <v>255</v>
      </c>
      <c r="B38" s="29" t="s">
        <v>402</v>
      </c>
      <c r="C38" s="29" t="s">
        <v>52</v>
      </c>
      <c r="D38" s="29" t="s">
        <v>54</v>
      </c>
      <c r="E38" s="70">
        <v>46143</v>
      </c>
      <c r="F38" s="86"/>
      <c r="G38" s="29"/>
      <c r="H38" s="94">
        <v>0</v>
      </c>
      <c r="I38" s="94"/>
    </row>
    <row r="39" spans="1:9" s="14" customFormat="1">
      <c r="A39" s="95" t="s">
        <v>261</v>
      </c>
      <c r="B39" s="95" t="s">
        <v>403</v>
      </c>
      <c r="C39" s="95" t="s">
        <v>52</v>
      </c>
      <c r="D39" s="95" t="s">
        <v>54</v>
      </c>
      <c r="E39" s="96">
        <v>46143</v>
      </c>
      <c r="F39" s="97"/>
      <c r="G39" s="95"/>
      <c r="H39" s="95">
        <v>0</v>
      </c>
      <c r="I39" s="95"/>
    </row>
    <row r="40" spans="1:9">
      <c r="A40" s="29" t="s">
        <v>244</v>
      </c>
      <c r="B40" s="29"/>
      <c r="C40" s="29" t="s">
        <v>100</v>
      </c>
      <c r="D40" s="29" t="s">
        <v>105</v>
      </c>
      <c r="E40" s="70">
        <v>46143</v>
      </c>
      <c r="F40" s="86"/>
      <c r="G40" s="29"/>
      <c r="H40" s="89">
        <v>3</v>
      </c>
      <c r="I40" s="29"/>
    </row>
    <row r="41" spans="1:9">
      <c r="A41" s="98" t="s">
        <v>245</v>
      </c>
      <c r="B41" s="99" t="s">
        <v>394</v>
      </c>
      <c r="C41" s="98" t="s">
        <v>100</v>
      </c>
      <c r="D41" s="98" t="s">
        <v>105</v>
      </c>
      <c r="E41" s="100">
        <v>46143</v>
      </c>
      <c r="F41" s="101"/>
      <c r="G41" s="98"/>
      <c r="H41" s="98">
        <v>2</v>
      </c>
      <c r="I41" s="29"/>
    </row>
    <row r="42" spans="1:9">
      <c r="A42" s="30" t="s">
        <v>246</v>
      </c>
      <c r="B42" s="29" t="s">
        <v>392</v>
      </c>
      <c r="C42" s="29" t="s">
        <v>87</v>
      </c>
      <c r="D42" s="29" t="s">
        <v>106</v>
      </c>
      <c r="E42" s="70">
        <v>46143</v>
      </c>
      <c r="F42" s="86"/>
      <c r="G42" s="29"/>
      <c r="H42" s="30">
        <v>0</v>
      </c>
      <c r="I42" s="29"/>
    </row>
    <row r="43" spans="1:9">
      <c r="A43" s="29" t="s">
        <v>156</v>
      </c>
      <c r="B43" s="29"/>
      <c r="C43" s="29" t="s">
        <v>94</v>
      </c>
      <c r="D43" s="29" t="s">
        <v>105</v>
      </c>
      <c r="E43" s="70">
        <v>46143</v>
      </c>
      <c r="F43" s="86"/>
      <c r="G43" s="29"/>
      <c r="H43" s="89">
        <v>146</v>
      </c>
      <c r="I43" s="29"/>
    </row>
    <row r="44" spans="1:9">
      <c r="A44" s="29" t="s">
        <v>169</v>
      </c>
      <c r="B44" s="29"/>
      <c r="C44" s="29" t="s">
        <v>94</v>
      </c>
      <c r="D44" s="29" t="s">
        <v>105</v>
      </c>
      <c r="E44" s="70">
        <v>46143</v>
      </c>
      <c r="F44" s="86"/>
      <c r="G44" s="29"/>
      <c r="H44" s="89">
        <v>130</v>
      </c>
      <c r="I44" s="29"/>
    </row>
    <row r="45" spans="1:9">
      <c r="A45" s="30" t="s">
        <v>247</v>
      </c>
      <c r="B45" s="29" t="s">
        <v>395</v>
      </c>
      <c r="C45" s="29" t="s">
        <v>94</v>
      </c>
      <c r="D45" s="29" t="s">
        <v>105</v>
      </c>
      <c r="E45" s="70">
        <v>46143</v>
      </c>
      <c r="F45" s="86"/>
      <c r="G45" s="29"/>
      <c r="H45" s="30"/>
      <c r="I45" s="29"/>
    </row>
    <row r="46" spans="1:9">
      <c r="A46" s="29" t="s">
        <v>171</v>
      </c>
      <c r="B46" s="29"/>
      <c r="C46" s="29" t="s">
        <v>91</v>
      </c>
      <c r="D46" s="29" t="s">
        <v>106</v>
      </c>
      <c r="E46" s="70">
        <v>46143</v>
      </c>
      <c r="F46" s="86"/>
      <c r="G46" s="29"/>
      <c r="H46" s="89">
        <v>10</v>
      </c>
      <c r="I46" s="29"/>
    </row>
    <row r="47" spans="1:9">
      <c r="A47" s="29" t="s">
        <v>162</v>
      </c>
      <c r="B47" s="29"/>
      <c r="C47" s="29" t="s">
        <v>91</v>
      </c>
      <c r="D47" s="29" t="s">
        <v>106</v>
      </c>
      <c r="E47" s="70">
        <v>46143</v>
      </c>
      <c r="F47" s="86"/>
      <c r="G47" s="29"/>
      <c r="H47" s="89">
        <v>145</v>
      </c>
      <c r="I47" s="29"/>
    </row>
    <row r="48" spans="1:9">
      <c r="A48" s="29" t="s">
        <v>164</v>
      </c>
      <c r="B48" s="29"/>
      <c r="C48" s="29" t="s">
        <v>91</v>
      </c>
      <c r="D48" s="29" t="s">
        <v>106</v>
      </c>
      <c r="E48" s="70">
        <v>46143</v>
      </c>
      <c r="F48" s="86"/>
      <c r="G48" s="29"/>
      <c r="H48" s="89">
        <v>278</v>
      </c>
      <c r="I48" s="29"/>
    </row>
    <row r="49" spans="1:9">
      <c r="A49" s="29" t="s">
        <v>175</v>
      </c>
      <c r="B49" s="29"/>
      <c r="C49" s="29" t="s">
        <v>91</v>
      </c>
      <c r="D49" s="29" t="s">
        <v>54</v>
      </c>
      <c r="E49" s="70">
        <v>46143</v>
      </c>
      <c r="F49" s="86"/>
      <c r="G49" s="29"/>
      <c r="H49" s="89">
        <v>14</v>
      </c>
      <c r="I49" s="29"/>
    </row>
    <row r="50" spans="1:9">
      <c r="A50" s="30" t="s">
        <v>249</v>
      </c>
      <c r="B50" s="29" t="s">
        <v>396</v>
      </c>
      <c r="C50" s="29" t="s">
        <v>99</v>
      </c>
      <c r="D50" s="29" t="s">
        <v>105</v>
      </c>
      <c r="E50" s="70">
        <v>46143</v>
      </c>
      <c r="F50" s="86"/>
      <c r="G50" s="29"/>
      <c r="H50" s="30">
        <v>0</v>
      </c>
      <c r="I50" s="29"/>
    </row>
    <row r="51" spans="1:9">
      <c r="A51" s="29" t="s">
        <v>250</v>
      </c>
      <c r="B51" s="29"/>
      <c r="C51" s="29" t="s">
        <v>99</v>
      </c>
      <c r="D51" s="29" t="s">
        <v>105</v>
      </c>
      <c r="E51" s="70">
        <v>46143</v>
      </c>
      <c r="F51" s="86"/>
      <c r="G51" s="29"/>
      <c r="H51" s="89">
        <v>8</v>
      </c>
      <c r="I51" s="29"/>
    </row>
    <row r="52" spans="1:9">
      <c r="A52" s="30" t="s">
        <v>251</v>
      </c>
      <c r="B52" s="29" t="s">
        <v>397</v>
      </c>
      <c r="C52" s="29" t="s">
        <v>99</v>
      </c>
      <c r="D52" s="29" t="s">
        <v>105</v>
      </c>
      <c r="E52" s="70">
        <v>46143</v>
      </c>
      <c r="F52" s="86"/>
      <c r="G52" s="29"/>
      <c r="H52" s="30">
        <v>0</v>
      </c>
      <c r="I52" s="29"/>
    </row>
    <row r="53" spans="1:9">
      <c r="A53" s="29" t="s">
        <v>248</v>
      </c>
      <c r="B53" s="29"/>
      <c r="C53" s="29" t="s">
        <v>99</v>
      </c>
      <c r="D53" s="29" t="s">
        <v>105</v>
      </c>
      <c r="E53" s="70">
        <v>46143</v>
      </c>
      <c r="F53" s="86"/>
      <c r="G53" s="29"/>
      <c r="H53" s="89">
        <v>32</v>
      </c>
      <c r="I53" s="29"/>
    </row>
    <row r="54" spans="1:9">
      <c r="A54" s="29" t="s">
        <v>236</v>
      </c>
      <c r="B54" s="29"/>
      <c r="C54" s="29" t="s">
        <v>278</v>
      </c>
      <c r="D54" s="29" t="s">
        <v>54</v>
      </c>
      <c r="E54" s="70">
        <v>46143</v>
      </c>
      <c r="F54" s="86"/>
      <c r="G54" s="29"/>
      <c r="H54" s="89">
        <v>31</v>
      </c>
      <c r="I54" s="29"/>
    </row>
    <row r="55" spans="1:9">
      <c r="A55" s="29" t="s">
        <v>237</v>
      </c>
      <c r="B55" s="29"/>
      <c r="C55" s="29" t="s">
        <v>278</v>
      </c>
      <c r="D55" s="29" t="s">
        <v>54</v>
      </c>
      <c r="E55" s="70">
        <v>46143</v>
      </c>
      <c r="F55" s="86"/>
      <c r="G55" s="29"/>
      <c r="H55" s="89">
        <v>108</v>
      </c>
      <c r="I55" s="29"/>
    </row>
    <row r="56" spans="1:9">
      <c r="A56" s="29" t="s">
        <v>370</v>
      </c>
      <c r="B56" s="29"/>
      <c r="C56" s="29" t="s">
        <v>278</v>
      </c>
      <c r="D56" s="29" t="s">
        <v>54</v>
      </c>
      <c r="E56" s="70">
        <v>46143</v>
      </c>
      <c r="F56" s="86"/>
      <c r="G56" s="29"/>
      <c r="H56" s="89">
        <v>97</v>
      </c>
      <c r="I56" s="29"/>
    </row>
    <row r="57" spans="1:9">
      <c r="A57" s="93" t="s">
        <v>239</v>
      </c>
      <c r="B57" s="29"/>
      <c r="C57" s="29" t="s">
        <v>278</v>
      </c>
      <c r="D57" s="29" t="s">
        <v>54</v>
      </c>
      <c r="E57" s="70">
        <v>46143</v>
      </c>
      <c r="F57" s="86"/>
      <c r="G57" s="29"/>
      <c r="H57" s="30">
        <v>0</v>
      </c>
      <c r="I57" s="29"/>
    </row>
    <row r="58" spans="1:9">
      <c r="A58" s="29" t="s">
        <v>235</v>
      </c>
      <c r="B58" s="29"/>
      <c r="C58" s="29" t="s">
        <v>278</v>
      </c>
      <c r="D58" s="29" t="s">
        <v>54</v>
      </c>
      <c r="E58" s="70">
        <v>46143</v>
      </c>
      <c r="F58" s="86"/>
      <c r="G58" s="29"/>
      <c r="H58" s="89">
        <v>107</v>
      </c>
      <c r="I58" s="29"/>
    </row>
    <row r="59" spans="1:9">
      <c r="A59" s="102" t="s">
        <v>238</v>
      </c>
      <c r="B59" s="102" t="s">
        <v>387</v>
      </c>
      <c r="C59" s="29" t="s">
        <v>278</v>
      </c>
      <c r="D59" s="29" t="s">
        <v>54</v>
      </c>
      <c r="E59" s="70">
        <v>46143</v>
      </c>
      <c r="F59" s="86"/>
      <c r="G59" s="29"/>
      <c r="H59" s="30">
        <v>0</v>
      </c>
      <c r="I59" s="29"/>
    </row>
    <row r="60" spans="1:9">
      <c r="A60" s="29" t="s">
        <v>218</v>
      </c>
      <c r="B60" s="29"/>
      <c r="C60" s="29" t="s">
        <v>93</v>
      </c>
      <c r="D60" s="29" t="s">
        <v>105</v>
      </c>
      <c r="E60" s="70">
        <v>46143</v>
      </c>
      <c r="F60" s="86"/>
      <c r="G60" s="29"/>
      <c r="H60" s="89">
        <v>60</v>
      </c>
      <c r="I60" s="29"/>
    </row>
    <row r="61" spans="1:9">
      <c r="A61" s="29" t="s">
        <v>219</v>
      </c>
      <c r="B61" s="29"/>
      <c r="C61" s="29" t="s">
        <v>93</v>
      </c>
      <c r="D61" s="29" t="s">
        <v>105</v>
      </c>
      <c r="E61" s="70">
        <v>46143</v>
      </c>
      <c r="F61" s="86"/>
      <c r="G61" s="29"/>
      <c r="H61" s="89">
        <v>58</v>
      </c>
      <c r="I61" s="29"/>
    </row>
    <row r="62" spans="1:9">
      <c r="A62" s="29" t="s">
        <v>170</v>
      </c>
      <c r="B62" s="29"/>
      <c r="C62" s="29" t="s">
        <v>93</v>
      </c>
      <c r="D62" s="29" t="s">
        <v>105</v>
      </c>
      <c r="E62" s="70">
        <v>46143</v>
      </c>
      <c r="F62" s="86"/>
      <c r="G62" s="29"/>
      <c r="H62" s="89">
        <v>6</v>
      </c>
      <c r="I62" s="29"/>
    </row>
    <row r="63" spans="1:9">
      <c r="A63" s="29" t="s">
        <v>154</v>
      </c>
      <c r="B63" s="29"/>
      <c r="C63" s="29" t="s">
        <v>93</v>
      </c>
      <c r="D63" s="29" t="s">
        <v>105</v>
      </c>
      <c r="E63" s="70">
        <v>46143</v>
      </c>
      <c r="F63" s="86"/>
      <c r="G63" s="29"/>
      <c r="H63" s="89">
        <v>6</v>
      </c>
      <c r="I63" s="29"/>
    </row>
    <row r="64" spans="1:9">
      <c r="A64" s="29" t="s">
        <v>155</v>
      </c>
      <c r="B64" s="29"/>
      <c r="C64" s="29" t="s">
        <v>93</v>
      </c>
      <c r="D64" s="29" t="s">
        <v>105</v>
      </c>
      <c r="E64" s="70">
        <v>46143</v>
      </c>
      <c r="F64" s="86"/>
      <c r="G64" s="29"/>
      <c r="H64" s="89">
        <v>6</v>
      </c>
      <c r="I64" s="29"/>
    </row>
    <row r="65" spans="1:9">
      <c r="A65" s="29" t="s">
        <v>157</v>
      </c>
      <c r="B65" s="29"/>
      <c r="C65" s="29" t="s">
        <v>93</v>
      </c>
      <c r="D65" s="29" t="s">
        <v>105</v>
      </c>
      <c r="E65" s="70">
        <v>46143</v>
      </c>
      <c r="F65" s="86"/>
      <c r="G65" s="29"/>
      <c r="H65" s="89">
        <v>11</v>
      </c>
      <c r="I65" s="29"/>
    </row>
    <row r="66" spans="1:9">
      <c r="A66" s="29" t="s">
        <v>161</v>
      </c>
      <c r="B66" s="29"/>
      <c r="C66" s="29" t="s">
        <v>93</v>
      </c>
      <c r="D66" s="29" t="s">
        <v>105</v>
      </c>
      <c r="E66" s="70">
        <v>46143</v>
      </c>
      <c r="F66" s="86"/>
      <c r="G66" s="29"/>
      <c r="H66" s="89">
        <v>9</v>
      </c>
      <c r="I66" s="29"/>
    </row>
    <row r="67" spans="1:9">
      <c r="A67" s="29" t="s">
        <v>167</v>
      </c>
      <c r="B67" s="29"/>
      <c r="C67" s="71" t="s">
        <v>93</v>
      </c>
      <c r="D67" s="29" t="s">
        <v>105</v>
      </c>
      <c r="E67" s="70">
        <v>46143</v>
      </c>
      <c r="F67" s="86"/>
      <c r="G67" s="29"/>
      <c r="H67" s="89">
        <v>46</v>
      </c>
      <c r="I67" s="29"/>
    </row>
    <row r="68" spans="1:9">
      <c r="A68" s="29" t="s">
        <v>240</v>
      </c>
      <c r="B68" s="29"/>
      <c r="C68" s="71" t="s">
        <v>93</v>
      </c>
      <c r="D68" s="29" t="s">
        <v>107</v>
      </c>
      <c r="E68" s="70">
        <v>46143</v>
      </c>
      <c r="F68" s="86"/>
      <c r="G68" s="29"/>
      <c r="H68" s="89">
        <v>2</v>
      </c>
      <c r="I68" s="29"/>
    </row>
    <row r="69" spans="1:9">
      <c r="A69" s="29" t="s">
        <v>262</v>
      </c>
      <c r="B69" s="29"/>
      <c r="C69" s="71" t="s">
        <v>263</v>
      </c>
      <c r="D69" s="29" t="s">
        <v>106</v>
      </c>
      <c r="E69" s="70">
        <v>46143</v>
      </c>
      <c r="F69" s="86"/>
      <c r="G69" s="29"/>
      <c r="H69" s="89">
        <v>12</v>
      </c>
      <c r="I69" s="29"/>
    </row>
    <row r="70" spans="1:9">
      <c r="A70" s="29" t="s">
        <v>264</v>
      </c>
      <c r="B70" s="29"/>
      <c r="C70" s="71" t="s">
        <v>263</v>
      </c>
      <c r="D70" s="29" t="s">
        <v>106</v>
      </c>
      <c r="E70" s="70">
        <v>46143</v>
      </c>
      <c r="F70" s="86"/>
      <c r="G70" s="29"/>
      <c r="H70" s="89">
        <v>6</v>
      </c>
      <c r="I70" s="29"/>
    </row>
    <row r="71" spans="1:9">
      <c r="A71" s="29" t="s">
        <v>178</v>
      </c>
      <c r="B71" s="29"/>
      <c r="C71" s="71" t="s">
        <v>263</v>
      </c>
      <c r="D71" s="29" t="s">
        <v>106</v>
      </c>
      <c r="E71" s="70">
        <v>46143</v>
      </c>
      <c r="F71" s="86"/>
      <c r="G71" s="29"/>
      <c r="H71" s="89">
        <v>6</v>
      </c>
      <c r="I71" s="29"/>
    </row>
    <row r="72" spans="1:9">
      <c r="A72" s="29" t="s">
        <v>181</v>
      </c>
      <c r="B72" s="29"/>
      <c r="C72" s="29" t="s">
        <v>270</v>
      </c>
      <c r="D72" s="29" t="s">
        <v>106</v>
      </c>
      <c r="E72" s="70">
        <v>46109</v>
      </c>
      <c r="F72" s="87"/>
      <c r="G72" s="29"/>
      <c r="H72" s="89">
        <v>60</v>
      </c>
      <c r="I72" s="29"/>
    </row>
    <row r="73" spans="1:9">
      <c r="A73" s="29" t="s">
        <v>180</v>
      </c>
      <c r="B73" s="29"/>
      <c r="C73" s="29" t="s">
        <v>50</v>
      </c>
      <c r="D73" s="29" t="s">
        <v>54</v>
      </c>
      <c r="E73" s="70">
        <v>46143</v>
      </c>
      <c r="F73" s="86"/>
      <c r="G73" s="29"/>
      <c r="H73" s="89">
        <v>22</v>
      </c>
      <c r="I73" s="29"/>
    </row>
    <row r="74" spans="1:9">
      <c r="A74" s="29" t="s">
        <v>194</v>
      </c>
      <c r="B74" s="29"/>
      <c r="C74" s="29" t="s">
        <v>50</v>
      </c>
      <c r="D74" s="29" t="s">
        <v>54</v>
      </c>
      <c r="E74" s="70">
        <v>46143</v>
      </c>
      <c r="F74" s="86"/>
      <c r="G74" s="29"/>
      <c r="H74" s="89">
        <v>37</v>
      </c>
      <c r="I74" s="29"/>
    </row>
    <row r="75" spans="1:9">
      <c r="A75" s="29" t="s">
        <v>195</v>
      </c>
      <c r="B75" s="29"/>
      <c r="C75" s="29" t="s">
        <v>50</v>
      </c>
      <c r="D75" s="29" t="s">
        <v>54</v>
      </c>
      <c r="E75" s="70">
        <v>46143</v>
      </c>
      <c r="F75" s="86"/>
      <c r="G75" s="29"/>
      <c r="H75" s="89">
        <v>27</v>
      </c>
      <c r="I75" s="29"/>
    </row>
    <row r="76" spans="1:9">
      <c r="A76" s="29" t="s">
        <v>196</v>
      </c>
      <c r="B76" s="29"/>
      <c r="C76" s="29" t="s">
        <v>50</v>
      </c>
      <c r="D76" s="29" t="s">
        <v>54</v>
      </c>
      <c r="E76" s="70">
        <v>46109</v>
      </c>
      <c r="F76" s="87"/>
      <c r="G76" s="29"/>
      <c r="H76" s="89">
        <v>22</v>
      </c>
      <c r="I76" s="29"/>
    </row>
    <row r="77" spans="1:9">
      <c r="A77" s="29" t="s">
        <v>198</v>
      </c>
      <c r="B77" s="29"/>
      <c r="C77" s="29" t="s">
        <v>50</v>
      </c>
      <c r="D77" s="29" t="s">
        <v>54</v>
      </c>
      <c r="E77" s="70">
        <v>46143</v>
      </c>
      <c r="F77" s="86"/>
      <c r="G77" s="29"/>
      <c r="H77" s="89">
        <v>27</v>
      </c>
      <c r="I77" s="29"/>
    </row>
    <row r="78" spans="1:9">
      <c r="A78" s="29" t="s">
        <v>199</v>
      </c>
      <c r="B78" s="29"/>
      <c r="C78" s="29" t="s">
        <v>50</v>
      </c>
      <c r="D78" s="29" t="s">
        <v>54</v>
      </c>
      <c r="E78" s="70">
        <v>46143</v>
      </c>
      <c r="F78" s="86"/>
      <c r="G78" s="29"/>
      <c r="H78" s="89">
        <v>32</v>
      </c>
      <c r="I78" s="29"/>
    </row>
    <row r="79" spans="1:9">
      <c r="A79" s="29" t="s">
        <v>201</v>
      </c>
      <c r="B79" s="29"/>
      <c r="C79" s="29" t="s">
        <v>50</v>
      </c>
      <c r="D79" s="29" t="s">
        <v>54</v>
      </c>
      <c r="E79" s="70">
        <v>46109</v>
      </c>
      <c r="F79" s="87"/>
      <c r="G79" s="29"/>
      <c r="H79" s="89">
        <v>29</v>
      </c>
      <c r="I79" s="29"/>
    </row>
    <row r="80" spans="1:9">
      <c r="A80" s="29" t="s">
        <v>202</v>
      </c>
      <c r="B80" s="29"/>
      <c r="C80" s="29" t="s">
        <v>50</v>
      </c>
      <c r="D80" s="29" t="s">
        <v>54</v>
      </c>
      <c r="E80" s="70">
        <v>46109</v>
      </c>
      <c r="F80" s="87"/>
      <c r="G80" s="29"/>
      <c r="H80" s="89">
        <v>30</v>
      </c>
      <c r="I80" s="29"/>
    </row>
    <row r="81" spans="1:9">
      <c r="A81" s="30" t="s">
        <v>203</v>
      </c>
      <c r="B81" s="29" t="s">
        <v>388</v>
      </c>
      <c r="C81" s="29" t="s">
        <v>50</v>
      </c>
      <c r="D81" s="29" t="s">
        <v>54</v>
      </c>
      <c r="E81" s="70">
        <v>46143</v>
      </c>
      <c r="F81" s="86"/>
      <c r="G81" s="29"/>
      <c r="H81" s="30">
        <v>0</v>
      </c>
      <c r="I81" s="29"/>
    </row>
    <row r="82" spans="1:9">
      <c r="A82" s="29" t="s">
        <v>204</v>
      </c>
      <c r="B82" s="29"/>
      <c r="C82" s="29" t="s">
        <v>50</v>
      </c>
      <c r="D82" s="29" t="s">
        <v>54</v>
      </c>
      <c r="E82" s="70">
        <v>46143</v>
      </c>
      <c r="F82" s="86"/>
      <c r="G82" s="29"/>
      <c r="H82" s="89">
        <v>34</v>
      </c>
      <c r="I82" s="29"/>
    </row>
    <row r="83" spans="1:9">
      <c r="A83" s="29" t="s">
        <v>205</v>
      </c>
      <c r="B83" s="29"/>
      <c r="C83" s="29" t="s">
        <v>50</v>
      </c>
      <c r="D83" s="29" t="s">
        <v>54</v>
      </c>
      <c r="E83" s="70">
        <v>46143</v>
      </c>
      <c r="F83" s="86"/>
      <c r="G83" s="29"/>
      <c r="H83" s="89">
        <v>12</v>
      </c>
      <c r="I83" s="29"/>
    </row>
    <row r="84" spans="1:9">
      <c r="A84" s="29" t="s">
        <v>206</v>
      </c>
      <c r="B84" s="29"/>
      <c r="C84" s="29" t="s">
        <v>50</v>
      </c>
      <c r="D84" s="29" t="s">
        <v>54</v>
      </c>
      <c r="E84" s="70">
        <v>46143</v>
      </c>
      <c r="F84" s="86"/>
      <c r="G84" s="29"/>
      <c r="H84" s="89">
        <v>10</v>
      </c>
      <c r="I84" s="29"/>
    </row>
    <row r="85" spans="1:9">
      <c r="A85" s="29" t="s">
        <v>207</v>
      </c>
      <c r="B85" s="29"/>
      <c r="C85" s="29" t="s">
        <v>50</v>
      </c>
      <c r="D85" s="29" t="s">
        <v>54</v>
      </c>
      <c r="E85" s="70">
        <v>46094</v>
      </c>
      <c r="F85" s="87"/>
      <c r="G85" s="29"/>
      <c r="H85" s="89">
        <v>35</v>
      </c>
      <c r="I85" s="29"/>
    </row>
    <row r="86" spans="1:9">
      <c r="A86" s="29" t="s">
        <v>208</v>
      </c>
      <c r="B86" s="29"/>
      <c r="C86" s="29" t="s">
        <v>50</v>
      </c>
      <c r="D86" s="29" t="s">
        <v>54</v>
      </c>
      <c r="E86" s="70">
        <v>46143</v>
      </c>
      <c r="F86" s="86"/>
      <c r="G86" s="29"/>
      <c r="H86" s="89">
        <v>34</v>
      </c>
      <c r="I86" s="29"/>
    </row>
    <row r="87" spans="1:9">
      <c r="A87" s="29" t="s">
        <v>209</v>
      </c>
      <c r="B87" s="29"/>
      <c r="C87" s="29" t="s">
        <v>50</v>
      </c>
      <c r="D87" s="29" t="s">
        <v>54</v>
      </c>
      <c r="E87" s="70">
        <v>46143</v>
      </c>
      <c r="F87" s="86"/>
      <c r="G87" s="29"/>
      <c r="H87" s="89">
        <v>22</v>
      </c>
      <c r="I87" s="29"/>
    </row>
    <row r="88" spans="1:9">
      <c r="A88" s="29" t="s">
        <v>210</v>
      </c>
      <c r="B88" s="29"/>
      <c r="C88" s="29" t="s">
        <v>50</v>
      </c>
      <c r="D88" s="29" t="s">
        <v>54</v>
      </c>
      <c r="E88" s="70">
        <v>46143</v>
      </c>
      <c r="F88" s="86"/>
      <c r="G88" s="29"/>
      <c r="H88" s="89">
        <v>23</v>
      </c>
      <c r="I88" s="29"/>
    </row>
    <row r="89" spans="1:9">
      <c r="A89" s="30" t="s">
        <v>241</v>
      </c>
      <c r="B89" s="29" t="s">
        <v>399</v>
      </c>
      <c r="C89" s="29" t="s">
        <v>50</v>
      </c>
      <c r="D89" s="29" t="s">
        <v>54</v>
      </c>
      <c r="E89" s="70">
        <v>46143</v>
      </c>
      <c r="F89" s="86"/>
      <c r="G89" s="29"/>
      <c r="H89" s="30"/>
      <c r="I89" s="29"/>
    </row>
    <row r="90" spans="1:9">
      <c r="A90" s="29" t="s">
        <v>242</v>
      </c>
      <c r="B90" s="29"/>
      <c r="C90" s="29" t="s">
        <v>50</v>
      </c>
      <c r="D90" s="29" t="s">
        <v>54</v>
      </c>
      <c r="E90" s="70">
        <v>46143</v>
      </c>
      <c r="F90" s="86"/>
      <c r="G90" s="29"/>
      <c r="H90" s="89">
        <v>22</v>
      </c>
      <c r="I90" s="29"/>
    </row>
    <row r="91" spans="1:9">
      <c r="A91" s="29" t="s">
        <v>258</v>
      </c>
      <c r="B91" s="29"/>
      <c r="C91" s="29" t="s">
        <v>50</v>
      </c>
      <c r="D91" s="29" t="s">
        <v>54</v>
      </c>
      <c r="E91" s="70">
        <v>46143</v>
      </c>
      <c r="F91" s="86"/>
      <c r="G91" s="29"/>
      <c r="H91" s="89">
        <v>22</v>
      </c>
      <c r="I91" s="29"/>
    </row>
    <row r="92" spans="1:9">
      <c r="A92" s="29" t="s">
        <v>259</v>
      </c>
      <c r="B92" s="29"/>
      <c r="C92" s="29" t="s">
        <v>50</v>
      </c>
      <c r="D92" s="29" t="s">
        <v>54</v>
      </c>
      <c r="E92" s="70">
        <v>46143</v>
      </c>
      <c r="F92" s="86"/>
      <c r="G92" s="29"/>
      <c r="H92" s="89">
        <v>27</v>
      </c>
      <c r="I92" s="29"/>
    </row>
    <row r="93" spans="1:9">
      <c r="A93" s="29" t="s">
        <v>374</v>
      </c>
      <c r="B93" s="29"/>
      <c r="C93" s="29" t="s">
        <v>50</v>
      </c>
      <c r="D93" s="29" t="s">
        <v>54</v>
      </c>
      <c r="E93" s="70">
        <v>46143</v>
      </c>
      <c r="F93" s="86"/>
      <c r="G93" s="29"/>
      <c r="H93" s="89">
        <v>46</v>
      </c>
      <c r="I93" s="29"/>
    </row>
    <row r="94" spans="1:9">
      <c r="A94" s="30" t="s">
        <v>253</v>
      </c>
      <c r="B94" s="29" t="s">
        <v>389</v>
      </c>
      <c r="C94" s="29" t="s">
        <v>182</v>
      </c>
      <c r="D94" s="29" t="s">
        <v>105</v>
      </c>
      <c r="E94" s="70">
        <v>46143</v>
      </c>
      <c r="F94" s="86"/>
      <c r="G94" s="29"/>
      <c r="H94" s="30">
        <v>0</v>
      </c>
      <c r="I94" s="29"/>
    </row>
    <row r="95" spans="1:9">
      <c r="A95" s="29" t="s">
        <v>366</v>
      </c>
      <c r="B95" s="29"/>
      <c r="C95" s="29" t="s">
        <v>279</v>
      </c>
      <c r="D95" s="29" t="s">
        <v>54</v>
      </c>
      <c r="E95" s="70">
        <v>46143</v>
      </c>
      <c r="F95" s="86"/>
      <c r="G95" s="29"/>
      <c r="H95" s="89">
        <v>8</v>
      </c>
      <c r="I95" s="29"/>
    </row>
    <row r="96" spans="1:9">
      <c r="A96" s="29" t="s">
        <v>367</v>
      </c>
      <c r="B96" s="29"/>
      <c r="C96" s="29" t="s">
        <v>279</v>
      </c>
      <c r="D96" s="29" t="s">
        <v>54</v>
      </c>
      <c r="E96" s="70">
        <v>46143</v>
      </c>
      <c r="F96" s="86"/>
      <c r="G96" s="29"/>
      <c r="H96" s="89">
        <v>2</v>
      </c>
      <c r="I96" s="29"/>
    </row>
    <row r="97" spans="1:9">
      <c r="A97" s="29" t="s">
        <v>371</v>
      </c>
      <c r="B97" s="29"/>
      <c r="C97" s="29" t="s">
        <v>279</v>
      </c>
      <c r="D97" s="29" t="s">
        <v>54</v>
      </c>
      <c r="E97" s="70">
        <v>46143</v>
      </c>
      <c r="F97" s="86"/>
      <c r="G97" s="29"/>
      <c r="H97" s="89">
        <v>5</v>
      </c>
      <c r="I97" s="29"/>
    </row>
    <row r="98" spans="1:9">
      <c r="A98" s="30" t="s">
        <v>375</v>
      </c>
      <c r="B98" s="29" t="s">
        <v>390</v>
      </c>
      <c r="C98" s="29" t="s">
        <v>279</v>
      </c>
      <c r="D98" s="29" t="s">
        <v>54</v>
      </c>
      <c r="E98" s="70">
        <v>46143</v>
      </c>
      <c r="F98" s="86"/>
      <c r="G98" s="29"/>
      <c r="H98" s="30"/>
      <c r="I98" s="29"/>
    </row>
    <row r="99" spans="1:9">
      <c r="A99" s="30" t="s">
        <v>372</v>
      </c>
      <c r="B99" s="29" t="s">
        <v>391</v>
      </c>
      <c r="C99" s="29" t="s">
        <v>279</v>
      </c>
      <c r="D99" s="29" t="s">
        <v>54</v>
      </c>
      <c r="E99" s="70">
        <v>46143</v>
      </c>
      <c r="F99" s="86"/>
      <c r="G99" s="29"/>
      <c r="H99" s="30"/>
      <c r="I99" s="29"/>
    </row>
    <row r="100" spans="1:9">
      <c r="A100" s="29" t="s">
        <v>216</v>
      </c>
      <c r="B100" s="29"/>
      <c r="C100" s="29" t="s">
        <v>92</v>
      </c>
      <c r="D100" s="29" t="s">
        <v>106</v>
      </c>
      <c r="E100" s="70">
        <v>46143</v>
      </c>
      <c r="F100" s="86"/>
      <c r="G100" s="29"/>
      <c r="H100" s="89">
        <v>16</v>
      </c>
      <c r="I100" s="29"/>
    </row>
    <row r="101" spans="1:9">
      <c r="A101" s="29" t="s">
        <v>404</v>
      </c>
      <c r="B101" s="29"/>
      <c r="C101" s="29" t="s">
        <v>92</v>
      </c>
      <c r="D101" s="29" t="s">
        <v>106</v>
      </c>
      <c r="E101" s="70">
        <v>46109</v>
      </c>
      <c r="F101" s="87"/>
      <c r="G101" s="29"/>
      <c r="H101" s="89">
        <v>35</v>
      </c>
      <c r="I101" s="29"/>
    </row>
    <row r="102" spans="1:9">
      <c r="A102" s="30" t="s">
        <v>252</v>
      </c>
      <c r="B102" s="29" t="s">
        <v>400</v>
      </c>
      <c r="C102" s="29" t="s">
        <v>103</v>
      </c>
      <c r="D102" s="29" t="s">
        <v>105</v>
      </c>
      <c r="E102" s="70">
        <v>46143</v>
      </c>
      <c r="F102" s="86"/>
      <c r="G102" s="29"/>
      <c r="H102" s="30"/>
      <c r="I102" s="29"/>
    </row>
    <row r="103" spans="1:9">
      <c r="A103" s="29" t="s">
        <v>350</v>
      </c>
      <c r="B103" s="29"/>
      <c r="C103" s="29" t="s">
        <v>95</v>
      </c>
      <c r="D103" s="29" t="s">
        <v>106</v>
      </c>
      <c r="E103" s="70">
        <v>46109</v>
      </c>
      <c r="F103" s="87"/>
      <c r="G103" s="29"/>
      <c r="H103" s="89">
        <f>9*20</f>
        <v>180</v>
      </c>
      <c r="I103" s="29"/>
    </row>
    <row r="104" spans="1:9">
      <c r="A104" s="29" t="s">
        <v>159</v>
      </c>
      <c r="B104" s="29"/>
      <c r="C104" s="29" t="s">
        <v>95</v>
      </c>
      <c r="D104" s="29" t="s">
        <v>106</v>
      </c>
      <c r="E104" s="70">
        <v>46109</v>
      </c>
      <c r="F104" s="87"/>
      <c r="G104" s="29"/>
      <c r="H104" s="89">
        <f>9*20+15</f>
        <v>195</v>
      </c>
      <c r="I104" s="29"/>
    </row>
    <row r="105" spans="1:9">
      <c r="A105" s="29" t="s">
        <v>163</v>
      </c>
      <c r="B105" s="29"/>
      <c r="C105" s="29" t="s">
        <v>95</v>
      </c>
      <c r="D105" s="29" t="s">
        <v>106</v>
      </c>
      <c r="E105" s="70">
        <v>46143</v>
      </c>
      <c r="F105" s="86"/>
      <c r="G105" s="29"/>
      <c r="H105" s="89">
        <f>9*20+7</f>
        <v>187</v>
      </c>
      <c r="I105" s="29"/>
    </row>
    <row r="106" spans="1:9">
      <c r="A106" s="29" t="s">
        <v>192</v>
      </c>
      <c r="B106" s="29"/>
      <c r="C106" s="29" t="s">
        <v>51</v>
      </c>
      <c r="D106" s="29" t="s">
        <v>54</v>
      </c>
      <c r="E106" s="70">
        <v>46143</v>
      </c>
      <c r="F106" s="86"/>
      <c r="G106" s="29"/>
      <c r="H106" s="89">
        <v>11</v>
      </c>
      <c r="I106" s="29"/>
    </row>
    <row r="107" spans="1:9">
      <c r="A107" s="29" t="s">
        <v>185</v>
      </c>
      <c r="B107" s="29"/>
      <c r="C107" s="29" t="s">
        <v>51</v>
      </c>
      <c r="D107" s="29" t="s">
        <v>54</v>
      </c>
      <c r="E107" s="70">
        <v>46143</v>
      </c>
      <c r="F107" s="86"/>
      <c r="G107" s="29"/>
      <c r="H107" s="89">
        <v>12</v>
      </c>
      <c r="I107" s="29"/>
    </row>
    <row r="108" spans="1:9">
      <c r="A108" s="29" t="s">
        <v>172</v>
      </c>
      <c r="B108" s="29"/>
      <c r="C108" s="29" t="s">
        <v>51</v>
      </c>
      <c r="D108" s="29" t="s">
        <v>54</v>
      </c>
      <c r="E108" s="70">
        <v>46094</v>
      </c>
      <c r="F108" s="87"/>
      <c r="G108" s="29"/>
      <c r="H108" s="89">
        <v>11</v>
      </c>
      <c r="I108" s="29"/>
    </row>
    <row r="109" spans="1:9">
      <c r="A109" s="29" t="s">
        <v>173</v>
      </c>
      <c r="B109" s="29"/>
      <c r="C109" s="29" t="s">
        <v>51</v>
      </c>
      <c r="D109" s="29" t="s">
        <v>54</v>
      </c>
      <c r="E109" s="70">
        <v>46094</v>
      </c>
      <c r="F109" s="87"/>
      <c r="G109" s="29"/>
      <c r="H109" s="89">
        <v>12</v>
      </c>
      <c r="I109" s="29"/>
    </row>
    <row r="110" spans="1:9">
      <c r="A110" s="29" t="s">
        <v>174</v>
      </c>
      <c r="B110" s="29"/>
      <c r="C110" s="29" t="s">
        <v>51</v>
      </c>
      <c r="D110" s="29" t="s">
        <v>54</v>
      </c>
      <c r="E110" s="70">
        <v>46094</v>
      </c>
      <c r="F110" s="87"/>
      <c r="G110" s="29"/>
      <c r="H110" s="89">
        <v>12</v>
      </c>
      <c r="I110" s="29"/>
    </row>
    <row r="111" spans="1:9">
      <c r="A111" s="29" t="s">
        <v>351</v>
      </c>
      <c r="B111" s="29"/>
      <c r="C111" s="29"/>
      <c r="D111" s="29"/>
      <c r="E111" s="70">
        <v>46094</v>
      </c>
      <c r="F111" s="87"/>
      <c r="G111" s="29"/>
      <c r="H111" s="89">
        <v>4</v>
      </c>
      <c r="I111" s="29"/>
    </row>
    <row r="112" spans="1:9">
      <c r="A112" s="102" t="s">
        <v>369</v>
      </c>
      <c r="B112" s="102" t="s">
        <v>398</v>
      </c>
      <c r="E112" s="8"/>
      <c r="F112" s="8"/>
      <c r="H112" s="103">
        <v>3</v>
      </c>
    </row>
    <row r="113" spans="1:9">
      <c r="E113" s="8"/>
      <c r="F113" s="8"/>
    </row>
    <row r="114" spans="1:9">
      <c r="A114" s="29" t="s">
        <v>379</v>
      </c>
      <c r="B114" s="29"/>
      <c r="C114" s="29"/>
      <c r="D114" s="29"/>
      <c r="E114" s="70"/>
      <c r="F114" s="70"/>
      <c r="G114" s="29"/>
      <c r="H114" s="89">
        <v>563</v>
      </c>
      <c r="I114" s="29"/>
    </row>
    <row r="115" spans="1:9">
      <c r="A115" s="29" t="s">
        <v>380</v>
      </c>
      <c r="B115" s="29"/>
      <c r="C115" s="29"/>
      <c r="D115" s="29"/>
      <c r="E115" s="70"/>
      <c r="F115" s="70"/>
      <c r="G115" s="29"/>
      <c r="H115" s="89">
        <v>28</v>
      </c>
      <c r="I115" s="29"/>
    </row>
    <row r="116" spans="1:9">
      <c r="A116" s="29" t="s">
        <v>381</v>
      </c>
      <c r="B116" s="29"/>
      <c r="C116" s="29"/>
      <c r="D116" s="29"/>
      <c r="E116" s="70"/>
      <c r="F116" s="70"/>
      <c r="G116" s="29"/>
      <c r="H116" s="89">
        <v>25</v>
      </c>
      <c r="I116" s="29"/>
    </row>
    <row r="117" spans="1:9">
      <c r="A117" s="29" t="s">
        <v>382</v>
      </c>
      <c r="B117" s="29"/>
      <c r="C117" s="29"/>
      <c r="D117" s="29"/>
      <c r="E117" s="70"/>
      <c r="F117" s="29"/>
      <c r="G117" s="29"/>
      <c r="H117" s="89">
        <v>165</v>
      </c>
      <c r="I117" s="29"/>
    </row>
    <row r="118" spans="1:9">
      <c r="A118" s="29" t="s">
        <v>383</v>
      </c>
      <c r="E118" s="8"/>
      <c r="H118" s="92">
        <v>409</v>
      </c>
    </row>
    <row r="119" spans="1:9">
      <c r="E119" s="8"/>
    </row>
    <row r="120" spans="1:9">
      <c r="A120" s="29" t="s">
        <v>384</v>
      </c>
      <c r="B120" s="29"/>
      <c r="C120" s="29"/>
      <c r="D120" s="29"/>
      <c r="E120" s="70"/>
      <c r="F120" s="29"/>
      <c r="G120" s="29"/>
      <c r="H120" s="89">
        <v>47</v>
      </c>
      <c r="I120" s="29"/>
    </row>
    <row r="121" spans="1:9">
      <c r="A121" s="29" t="s">
        <v>385</v>
      </c>
      <c r="B121" s="29"/>
      <c r="C121" s="29"/>
      <c r="D121" s="29"/>
      <c r="E121" s="70"/>
      <c r="F121" s="29"/>
      <c r="G121" s="29"/>
      <c r="H121" s="89">
        <v>17</v>
      </c>
      <c r="I121" s="29"/>
    </row>
    <row r="122" spans="1:9">
      <c r="A122" s="29" t="s">
        <v>386</v>
      </c>
      <c r="B122" s="29"/>
      <c r="C122" s="29"/>
      <c r="D122" s="29"/>
      <c r="E122" s="70"/>
      <c r="F122" s="29"/>
      <c r="G122" s="29"/>
      <c r="H122" s="89">
        <v>18</v>
      </c>
      <c r="I122" s="29"/>
    </row>
    <row r="123" spans="1:9">
      <c r="A123" s="29"/>
      <c r="B123" s="29"/>
      <c r="C123" s="29"/>
      <c r="D123" s="29"/>
      <c r="E123" s="70"/>
      <c r="F123" s="29"/>
      <c r="G123" s="29"/>
      <c r="H123" s="89"/>
      <c r="I123" s="29"/>
    </row>
    <row r="124" spans="1:9">
      <c r="E124" s="8"/>
    </row>
    <row r="125" spans="1:9">
      <c r="A125" s="29" t="s">
        <v>359</v>
      </c>
      <c r="B125" s="29"/>
      <c r="C125" s="29"/>
      <c r="D125" s="29"/>
      <c r="E125" s="70"/>
      <c r="F125" s="29"/>
      <c r="G125" s="29"/>
      <c r="H125" s="89">
        <v>5</v>
      </c>
      <c r="I125" s="29"/>
    </row>
    <row r="126" spans="1:9">
      <c r="A126" s="29" t="s">
        <v>360</v>
      </c>
      <c r="B126" s="29"/>
      <c r="C126" s="29"/>
      <c r="D126" s="29"/>
      <c r="E126" s="70"/>
      <c r="F126" s="29"/>
      <c r="G126" s="29"/>
      <c r="H126" s="89"/>
      <c r="I126" s="29"/>
    </row>
    <row r="127" spans="1:9">
      <c r="A127" s="29" t="s">
        <v>361</v>
      </c>
      <c r="B127" s="29"/>
      <c r="C127" s="29"/>
      <c r="D127" s="29"/>
      <c r="E127" s="70"/>
      <c r="F127" s="29"/>
      <c r="G127" s="29"/>
      <c r="H127" s="89">
        <v>1</v>
      </c>
      <c r="I127" s="29"/>
    </row>
    <row r="128" spans="1:9">
      <c r="A128" s="29" t="s">
        <v>362</v>
      </c>
      <c r="B128" s="29"/>
      <c r="C128" s="29"/>
      <c r="D128" s="29"/>
      <c r="E128" s="70"/>
      <c r="F128" s="29"/>
      <c r="G128" s="29"/>
      <c r="H128" s="89">
        <v>1</v>
      </c>
      <c r="I128" s="29"/>
    </row>
    <row r="129" spans="5:5">
      <c r="E129" s="8"/>
    </row>
    <row r="130" spans="5:5">
      <c r="E130" s="8"/>
    </row>
    <row r="131" spans="5:5">
      <c r="E131" s="8"/>
    </row>
    <row r="132" spans="5:5">
      <c r="E132" s="8"/>
    </row>
    <row r="133" spans="5:5">
      <c r="E133" s="8"/>
    </row>
    <row r="134" spans="5:5">
      <c r="E134" s="8"/>
    </row>
    <row r="135" spans="5:5">
      <c r="E135" s="8"/>
    </row>
    <row r="136" spans="5:5">
      <c r="E136" s="8"/>
    </row>
    <row r="137" spans="5:5">
      <c r="E137" s="8"/>
    </row>
    <row r="138" spans="5:5">
      <c r="E138" s="8"/>
    </row>
    <row r="139" spans="5:5">
      <c r="E139" s="8"/>
    </row>
    <row r="140" spans="5:5">
      <c r="E140" s="8"/>
    </row>
    <row r="141" spans="5:5">
      <c r="E141" s="8"/>
    </row>
    <row r="142" spans="5:5">
      <c r="E142" s="8"/>
    </row>
    <row r="143" spans="5:5">
      <c r="E143" s="8"/>
    </row>
    <row r="144" spans="5:5">
      <c r="E144" s="8"/>
    </row>
    <row r="145" spans="5:5">
      <c r="E145" s="8"/>
    </row>
    <row r="146" spans="5:5">
      <c r="E146" s="8"/>
    </row>
    <row r="147" spans="5:5">
      <c r="E147" s="8"/>
    </row>
    <row r="148" spans="5:5">
      <c r="E148" s="8"/>
    </row>
    <row r="149" spans="5:5">
      <c r="E149" s="8"/>
    </row>
    <row r="150" spans="5:5">
      <c r="E150" s="8"/>
    </row>
    <row r="151" spans="5:5">
      <c r="E151" s="8"/>
    </row>
    <row r="152" spans="5:5">
      <c r="E152" s="8"/>
    </row>
    <row r="153" spans="5:5">
      <c r="E153" s="8"/>
    </row>
    <row r="154" spans="5:5">
      <c r="E154" s="8"/>
    </row>
    <row r="155" spans="5:5">
      <c r="E155" s="8"/>
    </row>
    <row r="156" spans="5:5">
      <c r="E156" s="8"/>
    </row>
    <row r="157" spans="5:5">
      <c r="E157" s="8"/>
    </row>
    <row r="158" spans="5:5">
      <c r="E158" s="8"/>
    </row>
    <row r="159" spans="5:5">
      <c r="E159" s="8"/>
    </row>
    <row r="160" spans="5:5">
      <c r="E160" s="8"/>
    </row>
    <row r="161" spans="5:5">
      <c r="E161" s="8"/>
    </row>
    <row r="162" spans="5:5">
      <c r="E162" s="8"/>
    </row>
    <row r="163" spans="5:5">
      <c r="E163" s="8"/>
    </row>
    <row r="164" spans="5:5">
      <c r="E164" s="8"/>
    </row>
    <row r="165" spans="5:5">
      <c r="E165" s="8"/>
    </row>
    <row r="166" spans="5:5">
      <c r="E166" s="8"/>
    </row>
    <row r="167" spans="5:5">
      <c r="E167" s="8"/>
    </row>
    <row r="168" spans="5:5">
      <c r="E168" s="8"/>
    </row>
  </sheetData>
  <sortState xmlns:xlrd2="http://schemas.microsoft.com/office/spreadsheetml/2017/richdata2" ref="A2:I111">
    <sortCondition ref="A2:A111"/>
  </sortState>
  <pageMargins left="0.25" right="0.25" top="0.75" bottom="0.75" header="0.3" footer="0.3"/>
  <pageSetup paperSize="9" scale="72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3C208-6FC9-4531-B35D-A1A2D1E418F8}">
  <sheetPr>
    <pageSetUpPr fitToPage="1"/>
  </sheetPr>
  <dimension ref="A1:L111"/>
  <sheetViews>
    <sheetView zoomScale="88" zoomScaleNormal="88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40" sqref="A40"/>
    </sheetView>
  </sheetViews>
  <sheetFormatPr baseColWidth="10" defaultRowHeight="14.4"/>
  <cols>
    <col min="1" max="1" width="52.33203125" customWidth="1"/>
    <col min="2" max="2" width="17.6640625" bestFit="1" customWidth="1"/>
    <col min="5" max="5" width="15.6640625" customWidth="1"/>
    <col min="6" max="6" width="18.44140625" customWidth="1"/>
    <col min="7" max="7" width="16.21875" style="33" customWidth="1"/>
    <col min="8" max="8" width="15.109375" customWidth="1"/>
    <col min="9" max="9" width="15.109375" bestFit="1" customWidth="1"/>
    <col min="10" max="10" width="16.33203125" customWidth="1"/>
    <col min="11" max="11" width="18.44140625" customWidth="1"/>
    <col min="12" max="12" width="17.33203125" customWidth="1"/>
  </cols>
  <sheetData>
    <row r="1" spans="1:12">
      <c r="A1" s="25" t="s">
        <v>4</v>
      </c>
      <c r="B1" s="25" t="s">
        <v>5</v>
      </c>
      <c r="C1" s="26" t="s">
        <v>62</v>
      </c>
      <c r="D1" s="26" t="s">
        <v>60</v>
      </c>
      <c r="E1" s="26" t="s">
        <v>53</v>
      </c>
      <c r="F1" s="26" t="s">
        <v>121</v>
      </c>
      <c r="G1" s="26" t="s">
        <v>122</v>
      </c>
      <c r="H1" s="27" t="s">
        <v>76</v>
      </c>
      <c r="I1" s="27" t="s">
        <v>28</v>
      </c>
      <c r="J1" s="28" t="s">
        <v>72</v>
      </c>
      <c r="K1" s="54" t="s">
        <v>73</v>
      </c>
      <c r="L1" s="57" t="s">
        <v>183</v>
      </c>
    </row>
    <row r="2" spans="1:12">
      <c r="A2" s="30" t="s">
        <v>186</v>
      </c>
      <c r="B2" s="30" t="s">
        <v>49</v>
      </c>
      <c r="C2" s="30" t="s">
        <v>49</v>
      </c>
      <c r="D2" s="30">
        <v>1</v>
      </c>
      <c r="E2" s="30">
        <v>24</v>
      </c>
      <c r="F2" s="30">
        <f t="shared" ref="F2:F10" si="0">D2*E2</f>
        <v>24</v>
      </c>
      <c r="G2" s="35">
        <v>17500</v>
      </c>
      <c r="H2" s="36">
        <f t="shared" ref="H2:H9" si="1">G2/E2</f>
        <v>729.16666666666663</v>
      </c>
      <c r="I2" s="36">
        <f t="shared" ref="I2:I38" si="2">H2*F2</f>
        <v>17500</v>
      </c>
      <c r="J2" s="60">
        <v>46109</v>
      </c>
      <c r="K2" s="58">
        <v>46592</v>
      </c>
      <c r="L2" s="29">
        <v>800</v>
      </c>
    </row>
    <row r="3" spans="1:12">
      <c r="A3" s="30" t="s">
        <v>187</v>
      </c>
      <c r="B3" s="30" t="s">
        <v>49</v>
      </c>
      <c r="C3" s="30" t="s">
        <v>49</v>
      </c>
      <c r="D3" s="30">
        <v>1</v>
      </c>
      <c r="E3" s="30">
        <v>24</v>
      </c>
      <c r="F3" s="30">
        <f t="shared" si="0"/>
        <v>24</v>
      </c>
      <c r="G3" s="35">
        <v>16000</v>
      </c>
      <c r="H3" s="36">
        <f t="shared" si="1"/>
        <v>666.66666666666663</v>
      </c>
      <c r="I3" s="36">
        <f t="shared" si="2"/>
        <v>16000</v>
      </c>
      <c r="J3" s="60">
        <v>46109</v>
      </c>
      <c r="K3" s="58">
        <v>46520</v>
      </c>
      <c r="L3" s="29">
        <v>750</v>
      </c>
    </row>
    <row r="4" spans="1:12">
      <c r="A4" s="30" t="s">
        <v>188</v>
      </c>
      <c r="B4" s="30" t="s">
        <v>49</v>
      </c>
      <c r="C4" s="30" t="s">
        <v>49</v>
      </c>
      <c r="D4" s="30">
        <v>1</v>
      </c>
      <c r="E4" s="30">
        <v>24</v>
      </c>
      <c r="F4" s="30">
        <f t="shared" si="0"/>
        <v>24</v>
      </c>
      <c r="G4" s="35">
        <v>16000</v>
      </c>
      <c r="H4" s="36">
        <f t="shared" si="1"/>
        <v>666.66666666666663</v>
      </c>
      <c r="I4" s="36">
        <f t="shared" si="2"/>
        <v>16000</v>
      </c>
      <c r="J4" s="60">
        <v>46109</v>
      </c>
      <c r="K4" s="58">
        <v>46535</v>
      </c>
      <c r="L4" s="29">
        <v>750</v>
      </c>
    </row>
    <row r="5" spans="1:12">
      <c r="A5" s="30" t="s">
        <v>189</v>
      </c>
      <c r="B5" s="30" t="s">
        <v>49</v>
      </c>
      <c r="C5" s="30" t="s">
        <v>49</v>
      </c>
      <c r="D5" s="30">
        <v>1</v>
      </c>
      <c r="E5" s="30">
        <v>24</v>
      </c>
      <c r="F5" s="30">
        <f t="shared" si="0"/>
        <v>24</v>
      </c>
      <c r="G5" s="35">
        <v>16000</v>
      </c>
      <c r="H5" s="36">
        <f t="shared" si="1"/>
        <v>666.66666666666663</v>
      </c>
      <c r="I5" s="36">
        <f t="shared" si="2"/>
        <v>16000</v>
      </c>
      <c r="J5" s="60">
        <v>46109</v>
      </c>
      <c r="K5" s="58">
        <v>46550</v>
      </c>
      <c r="L5" s="29">
        <v>750</v>
      </c>
    </row>
    <row r="6" spans="1:12">
      <c r="A6" s="30" t="s">
        <v>190</v>
      </c>
      <c r="B6" s="30" t="s">
        <v>49</v>
      </c>
      <c r="C6" s="30" t="s">
        <v>49</v>
      </c>
      <c r="D6" s="30">
        <v>1</v>
      </c>
      <c r="E6" s="30">
        <v>24</v>
      </c>
      <c r="F6" s="30">
        <f t="shared" si="0"/>
        <v>24</v>
      </c>
      <c r="G6" s="35">
        <v>16000</v>
      </c>
      <c r="H6" s="36">
        <f t="shared" si="1"/>
        <v>666.66666666666663</v>
      </c>
      <c r="I6" s="36">
        <f t="shared" si="2"/>
        <v>16000</v>
      </c>
      <c r="J6" s="60">
        <v>46109</v>
      </c>
      <c r="K6" s="58">
        <v>46474</v>
      </c>
      <c r="L6" s="29">
        <v>750</v>
      </c>
    </row>
    <row r="7" spans="1:12">
      <c r="A7" s="30" t="s">
        <v>191</v>
      </c>
      <c r="B7" s="30" t="s">
        <v>49</v>
      </c>
      <c r="C7" s="30" t="s">
        <v>49</v>
      </c>
      <c r="D7" s="30">
        <v>1</v>
      </c>
      <c r="E7" s="30">
        <v>24</v>
      </c>
      <c r="F7" s="30">
        <f t="shared" si="0"/>
        <v>24</v>
      </c>
      <c r="G7" s="35">
        <v>8000</v>
      </c>
      <c r="H7" s="36">
        <f t="shared" si="1"/>
        <v>333.33333333333331</v>
      </c>
      <c r="I7" s="36">
        <f t="shared" si="2"/>
        <v>8000</v>
      </c>
      <c r="J7" s="60">
        <v>46109</v>
      </c>
      <c r="K7" s="58">
        <v>46474</v>
      </c>
      <c r="L7" s="29">
        <v>500</v>
      </c>
    </row>
    <row r="8" spans="1:12">
      <c r="A8" s="30" t="s">
        <v>192</v>
      </c>
      <c r="B8" s="30" t="s">
        <v>51</v>
      </c>
      <c r="C8" s="30" t="s">
        <v>54</v>
      </c>
      <c r="D8" s="30">
        <v>1</v>
      </c>
      <c r="E8" s="30">
        <v>12</v>
      </c>
      <c r="F8" s="30">
        <f t="shared" si="0"/>
        <v>12</v>
      </c>
      <c r="G8" s="35">
        <v>20000</v>
      </c>
      <c r="H8" s="36">
        <f t="shared" si="1"/>
        <v>1666.6666666666667</v>
      </c>
      <c r="I8" s="36">
        <f t="shared" si="2"/>
        <v>20000</v>
      </c>
      <c r="J8" s="60">
        <v>46109</v>
      </c>
      <c r="K8" s="58">
        <v>46474</v>
      </c>
      <c r="L8" s="29">
        <v>2000</v>
      </c>
    </row>
    <row r="9" spans="1:12">
      <c r="A9" s="46" t="s">
        <v>184</v>
      </c>
      <c r="B9" s="37" t="s">
        <v>90</v>
      </c>
      <c r="C9" s="37" t="s">
        <v>105</v>
      </c>
      <c r="D9" s="37">
        <v>1</v>
      </c>
      <c r="E9" s="37">
        <v>50</v>
      </c>
      <c r="F9" s="37">
        <f t="shared" si="0"/>
        <v>50</v>
      </c>
      <c r="G9" s="43">
        <v>18500</v>
      </c>
      <c r="H9" s="44">
        <f t="shared" si="1"/>
        <v>370</v>
      </c>
      <c r="I9" s="44">
        <f t="shared" si="2"/>
        <v>18500</v>
      </c>
      <c r="J9" s="61">
        <v>45882</v>
      </c>
      <c r="K9" s="59">
        <v>47343</v>
      </c>
      <c r="L9" s="29">
        <v>500</v>
      </c>
    </row>
    <row r="10" spans="1:12">
      <c r="A10" s="45" t="s">
        <v>193</v>
      </c>
      <c r="B10" s="40" t="s">
        <v>89</v>
      </c>
      <c r="C10" s="40" t="s">
        <v>49</v>
      </c>
      <c r="D10" s="45">
        <v>12</v>
      </c>
      <c r="E10" s="40">
        <v>10</v>
      </c>
      <c r="F10" s="40">
        <f t="shared" si="0"/>
        <v>120</v>
      </c>
      <c r="G10" s="41">
        <f>H10*D10</f>
        <v>3799.92</v>
      </c>
      <c r="H10" s="42">
        <v>316.66000000000003</v>
      </c>
      <c r="I10" s="42">
        <f t="shared" si="2"/>
        <v>37999.200000000004</v>
      </c>
      <c r="J10" s="64">
        <v>46094</v>
      </c>
      <c r="K10" s="62">
        <v>46359</v>
      </c>
      <c r="L10" s="29">
        <v>500</v>
      </c>
    </row>
    <row r="11" spans="1:12">
      <c r="A11" s="45" t="s">
        <v>194</v>
      </c>
      <c r="B11" s="40" t="s">
        <v>50</v>
      </c>
      <c r="C11" s="40" t="s">
        <v>54</v>
      </c>
      <c r="D11" s="45">
        <f>F11/E11</f>
        <v>6</v>
      </c>
      <c r="E11" s="40">
        <v>6</v>
      </c>
      <c r="F11" s="40">
        <v>36</v>
      </c>
      <c r="G11" s="41">
        <f>H11*D11</f>
        <v>2199.96</v>
      </c>
      <c r="H11" s="42">
        <v>366.66</v>
      </c>
      <c r="I11" s="42">
        <f t="shared" si="2"/>
        <v>13199.76</v>
      </c>
      <c r="J11" s="64">
        <v>46094</v>
      </c>
      <c r="K11" s="62">
        <v>46272</v>
      </c>
      <c r="L11" s="29">
        <v>500</v>
      </c>
    </row>
    <row r="12" spans="1:12">
      <c r="A12" s="45" t="s">
        <v>195</v>
      </c>
      <c r="B12" s="40" t="s">
        <v>50</v>
      </c>
      <c r="C12" s="40" t="s">
        <v>54</v>
      </c>
      <c r="D12" s="45">
        <f t="shared" ref="D12:D13" si="3">F12/E12</f>
        <v>6</v>
      </c>
      <c r="E12" s="40">
        <v>6</v>
      </c>
      <c r="F12" s="40">
        <v>36</v>
      </c>
      <c r="G12" s="41">
        <f>H12*D12</f>
        <v>2199.96</v>
      </c>
      <c r="H12" s="42">
        <v>366.66</v>
      </c>
      <c r="I12" s="42">
        <f t="shared" si="2"/>
        <v>13199.76</v>
      </c>
      <c r="J12" s="64">
        <v>46094</v>
      </c>
      <c r="K12" s="62">
        <v>46360</v>
      </c>
      <c r="L12" s="29">
        <v>500</v>
      </c>
    </row>
    <row r="13" spans="1:12">
      <c r="A13" s="45" t="s">
        <v>196</v>
      </c>
      <c r="B13" s="40" t="s">
        <v>50</v>
      </c>
      <c r="C13" s="40" t="s">
        <v>54</v>
      </c>
      <c r="D13" s="45">
        <f t="shared" si="3"/>
        <v>6</v>
      </c>
      <c r="E13" s="40">
        <v>6</v>
      </c>
      <c r="F13" s="40">
        <v>36</v>
      </c>
      <c r="G13" s="41">
        <f t="shared" ref="G13" si="4">H13*D13</f>
        <v>2199.96</v>
      </c>
      <c r="H13" s="42">
        <v>366.66</v>
      </c>
      <c r="I13" s="42">
        <f t="shared" si="2"/>
        <v>13199.76</v>
      </c>
      <c r="J13" s="64">
        <v>46094</v>
      </c>
      <c r="K13" s="62">
        <v>46364</v>
      </c>
      <c r="L13" s="29">
        <v>500</v>
      </c>
    </row>
    <row r="14" spans="1:12">
      <c r="A14" s="45" t="s">
        <v>197</v>
      </c>
      <c r="B14" s="40" t="s">
        <v>89</v>
      </c>
      <c r="C14" s="40" t="s">
        <v>49</v>
      </c>
      <c r="D14" s="45">
        <v>6</v>
      </c>
      <c r="E14" s="40">
        <v>10</v>
      </c>
      <c r="F14" s="40">
        <f>D14*E14</f>
        <v>60</v>
      </c>
      <c r="G14" s="41">
        <f>H14*D14</f>
        <v>1999.98</v>
      </c>
      <c r="H14" s="42">
        <v>333.33</v>
      </c>
      <c r="I14" s="42">
        <f t="shared" si="2"/>
        <v>19999.8</v>
      </c>
      <c r="J14" s="64">
        <v>46094</v>
      </c>
      <c r="K14" s="62">
        <v>46344</v>
      </c>
      <c r="L14" s="29">
        <v>500</v>
      </c>
    </row>
    <row r="15" spans="1:12">
      <c r="A15" s="45" t="s">
        <v>198</v>
      </c>
      <c r="B15" s="40" t="s">
        <v>50</v>
      </c>
      <c r="C15" s="40" t="s">
        <v>54</v>
      </c>
      <c r="D15" s="45">
        <f>F15/E15</f>
        <v>5</v>
      </c>
      <c r="E15" s="40">
        <v>6</v>
      </c>
      <c r="F15" s="40">
        <v>30</v>
      </c>
      <c r="G15" s="41">
        <f t="shared" ref="G15:G32" si="5">H15*E15</f>
        <v>3720</v>
      </c>
      <c r="H15" s="42">
        <v>620</v>
      </c>
      <c r="I15" s="42">
        <f t="shared" si="2"/>
        <v>18600</v>
      </c>
      <c r="J15" s="64">
        <v>46094</v>
      </c>
      <c r="K15" s="62">
        <v>46367</v>
      </c>
      <c r="L15" s="29"/>
    </row>
    <row r="16" spans="1:12">
      <c r="A16" s="45" t="s">
        <v>199</v>
      </c>
      <c r="B16" s="40" t="s">
        <v>50</v>
      </c>
      <c r="C16" s="40" t="s">
        <v>54</v>
      </c>
      <c r="D16" s="45">
        <f>F16/E16</f>
        <v>6</v>
      </c>
      <c r="E16" s="40">
        <v>6</v>
      </c>
      <c r="F16" s="40">
        <v>36</v>
      </c>
      <c r="G16" s="41">
        <f t="shared" si="5"/>
        <v>3900</v>
      </c>
      <c r="H16" s="42">
        <v>650</v>
      </c>
      <c r="I16" s="42">
        <f t="shared" si="2"/>
        <v>23400</v>
      </c>
      <c r="J16" s="64">
        <v>46094</v>
      </c>
      <c r="K16" s="62">
        <v>46365</v>
      </c>
      <c r="L16" s="29">
        <v>800</v>
      </c>
    </row>
    <row r="17" spans="1:12">
      <c r="A17" s="45" t="s">
        <v>200</v>
      </c>
      <c r="B17" s="40" t="s">
        <v>52</v>
      </c>
      <c r="C17" s="40" t="s">
        <v>104</v>
      </c>
      <c r="D17" s="47">
        <v>10</v>
      </c>
      <c r="E17" s="40">
        <v>1</v>
      </c>
      <c r="F17" s="40">
        <v>10</v>
      </c>
      <c r="G17" s="41">
        <f t="shared" si="5"/>
        <v>900</v>
      </c>
      <c r="H17" s="42">
        <v>900</v>
      </c>
      <c r="I17" s="42">
        <f t="shared" si="2"/>
        <v>9000</v>
      </c>
      <c r="J17" s="64">
        <v>46094</v>
      </c>
      <c r="K17" s="62">
        <v>46523</v>
      </c>
      <c r="L17" s="29">
        <v>1000</v>
      </c>
    </row>
    <row r="18" spans="1:12">
      <c r="A18" s="45" t="s">
        <v>201</v>
      </c>
      <c r="B18" s="40" t="s">
        <v>50</v>
      </c>
      <c r="C18" s="40" t="s">
        <v>54</v>
      </c>
      <c r="D18" s="47">
        <v>5</v>
      </c>
      <c r="E18" s="40">
        <v>6</v>
      </c>
      <c r="F18" s="40">
        <v>30</v>
      </c>
      <c r="G18" s="41">
        <f t="shared" si="5"/>
        <v>2349.96</v>
      </c>
      <c r="H18" s="42">
        <v>391.66</v>
      </c>
      <c r="I18" s="42">
        <f t="shared" si="2"/>
        <v>11749.800000000001</v>
      </c>
      <c r="J18" s="64">
        <v>46158</v>
      </c>
      <c r="K18" s="62">
        <v>46493</v>
      </c>
      <c r="L18" s="29">
        <v>500</v>
      </c>
    </row>
    <row r="19" spans="1:12">
      <c r="A19" s="45" t="s">
        <v>202</v>
      </c>
      <c r="B19" s="40" t="s">
        <v>50</v>
      </c>
      <c r="C19" s="40" t="s">
        <v>54</v>
      </c>
      <c r="D19" s="47">
        <v>6</v>
      </c>
      <c r="E19" s="40">
        <v>6</v>
      </c>
      <c r="F19" s="40">
        <v>36</v>
      </c>
      <c r="G19" s="41">
        <f t="shared" si="5"/>
        <v>3300</v>
      </c>
      <c r="H19" s="42">
        <v>550</v>
      </c>
      <c r="I19" s="42">
        <f t="shared" si="2"/>
        <v>19800</v>
      </c>
      <c r="J19" s="64">
        <v>46158</v>
      </c>
      <c r="K19" s="62">
        <v>46335</v>
      </c>
      <c r="L19" s="29">
        <v>700</v>
      </c>
    </row>
    <row r="20" spans="1:12">
      <c r="A20" s="45" t="s">
        <v>203</v>
      </c>
      <c r="B20" s="40" t="s">
        <v>50</v>
      </c>
      <c r="C20" s="40" t="s">
        <v>54</v>
      </c>
      <c r="D20" s="47">
        <v>1</v>
      </c>
      <c r="E20" s="40">
        <v>12</v>
      </c>
      <c r="F20" s="40">
        <v>12</v>
      </c>
      <c r="G20" s="41">
        <f t="shared" si="5"/>
        <v>2899.92</v>
      </c>
      <c r="H20" s="42">
        <v>241.66</v>
      </c>
      <c r="I20" s="42">
        <f t="shared" si="2"/>
        <v>2899.92</v>
      </c>
      <c r="J20" s="64">
        <v>46158</v>
      </c>
      <c r="K20" s="62">
        <v>46367</v>
      </c>
      <c r="L20" s="63">
        <v>250</v>
      </c>
    </row>
    <row r="21" spans="1:12">
      <c r="A21" s="45" t="s">
        <v>204</v>
      </c>
      <c r="B21" s="40" t="s">
        <v>50</v>
      </c>
      <c r="C21" s="40" t="s">
        <v>54</v>
      </c>
      <c r="D21" s="47">
        <v>6</v>
      </c>
      <c r="E21" s="40">
        <v>6</v>
      </c>
      <c r="F21" s="40">
        <v>36</v>
      </c>
      <c r="G21" s="41">
        <f t="shared" si="5"/>
        <v>2349.96</v>
      </c>
      <c r="H21" s="42">
        <v>391.66</v>
      </c>
      <c r="I21" s="42">
        <f t="shared" si="2"/>
        <v>14099.76</v>
      </c>
      <c r="J21" s="64">
        <v>46058</v>
      </c>
      <c r="K21" s="62">
        <v>46392</v>
      </c>
      <c r="L21" s="29">
        <v>500</v>
      </c>
    </row>
    <row r="22" spans="1:12">
      <c r="A22" s="45" t="s">
        <v>205</v>
      </c>
      <c r="B22" s="40" t="s">
        <v>50</v>
      </c>
      <c r="C22" s="40" t="s">
        <v>54</v>
      </c>
      <c r="D22" s="47">
        <v>1</v>
      </c>
      <c r="E22" s="40">
        <v>12</v>
      </c>
      <c r="F22" s="40">
        <v>12</v>
      </c>
      <c r="G22" s="41">
        <f t="shared" si="5"/>
        <v>2352</v>
      </c>
      <c r="H22" s="42">
        <v>196</v>
      </c>
      <c r="I22" s="42">
        <f t="shared" si="2"/>
        <v>2352</v>
      </c>
      <c r="J22" s="64">
        <v>46095</v>
      </c>
      <c r="K22" s="62">
        <v>46370</v>
      </c>
      <c r="L22" s="29">
        <v>250</v>
      </c>
    </row>
    <row r="23" spans="1:12">
      <c r="A23" s="45" t="s">
        <v>206</v>
      </c>
      <c r="B23" s="40" t="s">
        <v>50</v>
      </c>
      <c r="C23" s="40" t="s">
        <v>54</v>
      </c>
      <c r="D23" s="47">
        <v>12</v>
      </c>
      <c r="E23" s="40">
        <v>12</v>
      </c>
      <c r="F23" s="40">
        <v>12</v>
      </c>
      <c r="G23" s="41">
        <f t="shared" si="5"/>
        <v>2899.92</v>
      </c>
      <c r="H23" s="42">
        <v>241.66</v>
      </c>
      <c r="I23" s="42">
        <f t="shared" si="2"/>
        <v>2899.92</v>
      </c>
      <c r="J23" s="64">
        <v>46153</v>
      </c>
      <c r="K23" s="62">
        <v>46123</v>
      </c>
      <c r="L23" s="29">
        <v>500</v>
      </c>
    </row>
    <row r="24" spans="1:12">
      <c r="A24" s="45" t="s">
        <v>207</v>
      </c>
      <c r="B24" s="40" t="s">
        <v>50</v>
      </c>
      <c r="C24" s="40" t="s">
        <v>54</v>
      </c>
      <c r="D24" s="47">
        <v>6</v>
      </c>
      <c r="E24" s="40">
        <v>6</v>
      </c>
      <c r="F24" s="40">
        <v>36</v>
      </c>
      <c r="G24" s="41">
        <f t="shared" si="5"/>
        <v>2349.96</v>
      </c>
      <c r="H24" s="42">
        <v>391.66</v>
      </c>
      <c r="I24" s="42">
        <f t="shared" si="2"/>
        <v>14099.76</v>
      </c>
      <c r="J24" s="64">
        <v>46083</v>
      </c>
      <c r="K24" s="62">
        <v>46267</v>
      </c>
      <c r="L24" s="29">
        <v>650</v>
      </c>
    </row>
    <row r="25" spans="1:12">
      <c r="A25" s="45" t="s">
        <v>208</v>
      </c>
      <c r="B25" s="40" t="s">
        <v>50</v>
      </c>
      <c r="C25" s="40" t="s">
        <v>54</v>
      </c>
      <c r="D25" s="47">
        <v>7</v>
      </c>
      <c r="E25" s="40">
        <v>6</v>
      </c>
      <c r="F25" s="40">
        <v>36</v>
      </c>
      <c r="G25" s="41">
        <f t="shared" si="5"/>
        <v>3249.96</v>
      </c>
      <c r="H25" s="42">
        <v>541.66</v>
      </c>
      <c r="I25" s="42">
        <f t="shared" si="2"/>
        <v>19499.759999999998</v>
      </c>
      <c r="J25" s="64">
        <v>46083</v>
      </c>
      <c r="K25" s="62">
        <v>46340</v>
      </c>
      <c r="L25" s="29">
        <v>700</v>
      </c>
    </row>
    <row r="26" spans="1:12">
      <c r="A26" s="45" t="s">
        <v>209</v>
      </c>
      <c r="B26" s="40" t="s">
        <v>50</v>
      </c>
      <c r="C26" s="40" t="s">
        <v>54</v>
      </c>
      <c r="D26" s="47">
        <v>7</v>
      </c>
      <c r="E26" s="40">
        <v>6</v>
      </c>
      <c r="F26" s="40">
        <v>36</v>
      </c>
      <c r="G26" s="41">
        <f t="shared" si="5"/>
        <v>3249.96</v>
      </c>
      <c r="H26" s="42">
        <v>541.66</v>
      </c>
      <c r="I26" s="42">
        <f t="shared" si="2"/>
        <v>19499.759999999998</v>
      </c>
      <c r="J26" s="64">
        <v>46185</v>
      </c>
      <c r="K26" s="62">
        <v>46154</v>
      </c>
      <c r="L26" s="29">
        <v>500</v>
      </c>
    </row>
    <row r="27" spans="1:12">
      <c r="A27" s="45" t="s">
        <v>210</v>
      </c>
      <c r="B27" s="40" t="s">
        <v>50</v>
      </c>
      <c r="C27" s="40" t="s">
        <v>54</v>
      </c>
      <c r="D27" s="47">
        <v>5</v>
      </c>
      <c r="E27" s="40">
        <v>6</v>
      </c>
      <c r="F27" s="40">
        <v>30</v>
      </c>
      <c r="G27" s="41">
        <f t="shared" si="5"/>
        <v>2349.96</v>
      </c>
      <c r="H27" s="42">
        <v>391.66</v>
      </c>
      <c r="I27" s="42">
        <f t="shared" si="2"/>
        <v>11749.800000000001</v>
      </c>
      <c r="J27" s="64">
        <v>46188</v>
      </c>
      <c r="K27" s="62">
        <v>46550</v>
      </c>
      <c r="L27" s="29">
        <v>500</v>
      </c>
    </row>
    <row r="28" spans="1:12">
      <c r="A28" s="45" t="s">
        <v>211</v>
      </c>
      <c r="B28" s="40" t="s">
        <v>52</v>
      </c>
      <c r="C28" s="40" t="s">
        <v>54</v>
      </c>
      <c r="D28" s="47">
        <v>2</v>
      </c>
      <c r="E28" s="40">
        <v>12</v>
      </c>
      <c r="F28" s="40">
        <v>24</v>
      </c>
      <c r="G28" s="41">
        <f t="shared" si="5"/>
        <v>1899.96</v>
      </c>
      <c r="H28" s="42">
        <v>158.33000000000001</v>
      </c>
      <c r="I28" s="42">
        <f t="shared" si="2"/>
        <v>3799.92</v>
      </c>
      <c r="J28" s="64">
        <v>46188</v>
      </c>
      <c r="K28" s="62">
        <v>46553</v>
      </c>
      <c r="L28" s="29">
        <v>200</v>
      </c>
    </row>
    <row r="29" spans="1:12">
      <c r="A29" s="45" t="s">
        <v>212</v>
      </c>
      <c r="B29" s="40" t="s">
        <v>52</v>
      </c>
      <c r="C29" s="40" t="s">
        <v>54</v>
      </c>
      <c r="D29" s="47">
        <v>5</v>
      </c>
      <c r="E29" s="40">
        <v>6</v>
      </c>
      <c r="F29" s="40">
        <v>30</v>
      </c>
      <c r="G29" s="41">
        <f t="shared" si="5"/>
        <v>1350</v>
      </c>
      <c r="H29" s="42">
        <v>225</v>
      </c>
      <c r="I29" s="42">
        <f t="shared" si="2"/>
        <v>6750</v>
      </c>
      <c r="J29" s="64">
        <v>46129</v>
      </c>
      <c r="K29" s="62">
        <v>46129</v>
      </c>
      <c r="L29" s="29">
        <v>400</v>
      </c>
    </row>
    <row r="30" spans="1:12">
      <c r="A30" s="45" t="s">
        <v>213</v>
      </c>
      <c r="B30" s="40" t="s">
        <v>52</v>
      </c>
      <c r="C30" s="40" t="s">
        <v>54</v>
      </c>
      <c r="D30" s="47">
        <v>1</v>
      </c>
      <c r="E30" s="40">
        <v>10</v>
      </c>
      <c r="F30" s="40">
        <v>10</v>
      </c>
      <c r="G30" s="41">
        <f t="shared" si="5"/>
        <v>10000</v>
      </c>
      <c r="H30" s="42">
        <v>1000</v>
      </c>
      <c r="I30" s="42">
        <f t="shared" si="2"/>
        <v>10000</v>
      </c>
      <c r="J30" s="64">
        <v>46160</v>
      </c>
      <c r="K30" s="62">
        <v>46556</v>
      </c>
      <c r="L30" s="29">
        <v>1100</v>
      </c>
    </row>
    <row r="31" spans="1:12">
      <c r="A31" s="45" t="s">
        <v>214</v>
      </c>
      <c r="B31" s="40" t="s">
        <v>52</v>
      </c>
      <c r="C31" s="40" t="s">
        <v>54</v>
      </c>
      <c r="D31" s="47">
        <v>2</v>
      </c>
      <c r="E31" s="40">
        <v>12</v>
      </c>
      <c r="F31" s="40">
        <v>24</v>
      </c>
      <c r="G31" s="41">
        <f t="shared" si="5"/>
        <v>1699.92</v>
      </c>
      <c r="H31" s="42">
        <v>141.66</v>
      </c>
      <c r="I31" s="42">
        <f t="shared" si="2"/>
        <v>3399.84</v>
      </c>
      <c r="J31" s="64">
        <v>46175</v>
      </c>
      <c r="K31" s="62">
        <v>46547</v>
      </c>
      <c r="L31" s="29"/>
    </row>
    <row r="32" spans="1:12">
      <c r="A32" s="45" t="s">
        <v>215</v>
      </c>
      <c r="B32" s="40" t="s">
        <v>52</v>
      </c>
      <c r="C32" s="40" t="s">
        <v>54</v>
      </c>
      <c r="D32" s="47">
        <v>10</v>
      </c>
      <c r="E32" s="40">
        <v>6</v>
      </c>
      <c r="F32" s="40">
        <v>60</v>
      </c>
      <c r="G32" s="41">
        <f t="shared" si="5"/>
        <v>1200</v>
      </c>
      <c r="H32" s="42">
        <v>200</v>
      </c>
      <c r="I32" s="42">
        <f t="shared" si="2"/>
        <v>12000</v>
      </c>
      <c r="J32" s="64">
        <v>46187</v>
      </c>
      <c r="K32" s="62">
        <v>46552</v>
      </c>
      <c r="L32" s="29">
        <v>300</v>
      </c>
    </row>
    <row r="33" spans="1:12">
      <c r="A33" s="51" t="s">
        <v>216</v>
      </c>
      <c r="B33" s="48" t="s">
        <v>92</v>
      </c>
      <c r="C33" s="48" t="s">
        <v>106</v>
      </c>
      <c r="D33" s="48">
        <v>1</v>
      </c>
      <c r="E33" s="48">
        <v>20</v>
      </c>
      <c r="F33" s="48">
        <f>D33*E33</f>
        <v>20</v>
      </c>
      <c r="G33" s="50">
        <v>6800</v>
      </c>
      <c r="H33" s="50">
        <f t="shared" ref="H33:H38" si="6">G33/E33</f>
        <v>340</v>
      </c>
      <c r="I33" s="50">
        <f t="shared" si="2"/>
        <v>6800</v>
      </c>
      <c r="J33" s="66">
        <v>46105</v>
      </c>
      <c r="K33" s="65">
        <v>46835</v>
      </c>
      <c r="L33" s="29">
        <v>400</v>
      </c>
    </row>
    <row r="34" spans="1:12">
      <c r="A34" s="51" t="s">
        <v>217</v>
      </c>
      <c r="B34" s="48" t="s">
        <v>92</v>
      </c>
      <c r="C34" s="48" t="s">
        <v>106</v>
      </c>
      <c r="D34" s="48">
        <v>1</v>
      </c>
      <c r="E34" s="48">
        <v>40</v>
      </c>
      <c r="F34" s="48">
        <f>D34*E34</f>
        <v>40</v>
      </c>
      <c r="G34" s="50">
        <v>6900</v>
      </c>
      <c r="H34" s="50">
        <f t="shared" si="6"/>
        <v>172.5</v>
      </c>
      <c r="I34" s="50">
        <f t="shared" si="2"/>
        <v>6900</v>
      </c>
      <c r="J34" s="66">
        <v>46047</v>
      </c>
      <c r="K34" s="65">
        <v>46776</v>
      </c>
      <c r="L34" s="29">
        <v>250</v>
      </c>
    </row>
    <row r="35" spans="1:12">
      <c r="A35" s="51" t="s">
        <v>218</v>
      </c>
      <c r="B35" s="48" t="s">
        <v>93</v>
      </c>
      <c r="C35" s="48" t="s">
        <v>105</v>
      </c>
      <c r="D35" s="48">
        <v>1</v>
      </c>
      <c r="E35" s="48">
        <v>60</v>
      </c>
      <c r="F35" s="48">
        <v>60</v>
      </c>
      <c r="G35" s="50">
        <v>17500</v>
      </c>
      <c r="H35" s="50">
        <f t="shared" si="6"/>
        <v>291.66666666666669</v>
      </c>
      <c r="I35" s="50">
        <f t="shared" si="2"/>
        <v>17500</v>
      </c>
      <c r="J35" s="48"/>
      <c r="K35" s="55"/>
      <c r="L35" s="29">
        <v>350</v>
      </c>
    </row>
    <row r="36" spans="1:12">
      <c r="A36" s="51" t="s">
        <v>219</v>
      </c>
      <c r="B36" s="48" t="s">
        <v>93</v>
      </c>
      <c r="C36" s="48" t="s">
        <v>105</v>
      </c>
      <c r="D36" s="48">
        <v>1</v>
      </c>
      <c r="E36" s="48">
        <v>60</v>
      </c>
      <c r="F36" s="48">
        <v>60</v>
      </c>
      <c r="G36" s="50">
        <v>20000</v>
      </c>
      <c r="H36" s="50">
        <f t="shared" si="6"/>
        <v>333.33333333333331</v>
      </c>
      <c r="I36" s="50">
        <f t="shared" si="2"/>
        <v>20000</v>
      </c>
      <c r="J36" s="48"/>
      <c r="K36" s="55"/>
      <c r="L36" s="29">
        <v>400</v>
      </c>
    </row>
    <row r="37" spans="1:12">
      <c r="A37" s="51" t="s">
        <v>170</v>
      </c>
      <c r="B37" s="48" t="s">
        <v>93</v>
      </c>
      <c r="C37" s="48" t="s">
        <v>105</v>
      </c>
      <c r="D37" s="48">
        <v>1</v>
      </c>
      <c r="E37" s="48">
        <v>6</v>
      </c>
      <c r="F37" s="48">
        <f>D37*E37</f>
        <v>6</v>
      </c>
      <c r="G37" s="50">
        <v>5000</v>
      </c>
      <c r="H37" s="50">
        <f t="shared" si="6"/>
        <v>833.33333333333337</v>
      </c>
      <c r="I37" s="50">
        <f t="shared" si="2"/>
        <v>5000</v>
      </c>
      <c r="J37" s="48"/>
      <c r="K37" s="65">
        <v>46813</v>
      </c>
      <c r="L37" s="30">
        <v>950</v>
      </c>
    </row>
    <row r="38" spans="1:12">
      <c r="A38" s="48" t="s">
        <v>154</v>
      </c>
      <c r="B38" s="48" t="s">
        <v>93</v>
      </c>
      <c r="C38" s="48" t="s">
        <v>105</v>
      </c>
      <c r="D38" s="48">
        <v>1</v>
      </c>
      <c r="E38" s="48">
        <v>6</v>
      </c>
      <c r="F38" s="48">
        <v>6</v>
      </c>
      <c r="G38" s="50">
        <v>1500</v>
      </c>
      <c r="H38" s="50">
        <f t="shared" si="6"/>
        <v>250</v>
      </c>
      <c r="I38" s="50">
        <f t="shared" si="2"/>
        <v>1500</v>
      </c>
      <c r="J38" s="66">
        <v>46145</v>
      </c>
      <c r="K38" s="65">
        <v>46876</v>
      </c>
      <c r="L38" s="29">
        <v>400</v>
      </c>
    </row>
    <row r="39" spans="1:12">
      <c r="A39" s="51" t="s">
        <v>155</v>
      </c>
      <c r="B39" s="48" t="s">
        <v>93</v>
      </c>
      <c r="C39" s="48" t="s">
        <v>105</v>
      </c>
      <c r="D39" s="48">
        <v>1</v>
      </c>
      <c r="E39" s="48">
        <v>6</v>
      </c>
      <c r="F39" s="48">
        <v>6</v>
      </c>
      <c r="G39" s="50">
        <v>3500</v>
      </c>
      <c r="H39" s="50">
        <f t="shared" ref="H39:H42" si="7">G39/E39</f>
        <v>583.33333333333337</v>
      </c>
      <c r="I39" s="50">
        <f t="shared" ref="I39:I53" si="8">H39*F39</f>
        <v>3500</v>
      </c>
      <c r="J39" s="48"/>
      <c r="K39" s="55"/>
      <c r="L39" s="29">
        <v>700</v>
      </c>
    </row>
    <row r="40" spans="1:12">
      <c r="A40" s="51" t="s">
        <v>156</v>
      </c>
      <c r="B40" s="48" t="s">
        <v>94</v>
      </c>
      <c r="C40" s="48" t="s">
        <v>105</v>
      </c>
      <c r="D40" s="48">
        <v>1</v>
      </c>
      <c r="E40" s="48">
        <v>156</v>
      </c>
      <c r="F40" s="48">
        <v>156</v>
      </c>
      <c r="G40" s="50">
        <v>5500</v>
      </c>
      <c r="H40" s="50">
        <f t="shared" si="7"/>
        <v>35.256410256410255</v>
      </c>
      <c r="I40" s="50">
        <f t="shared" si="8"/>
        <v>5500</v>
      </c>
      <c r="J40" s="66">
        <v>46082</v>
      </c>
      <c r="K40" s="55"/>
      <c r="L40" s="29">
        <v>50</v>
      </c>
    </row>
    <row r="41" spans="1:12">
      <c r="A41" s="51" t="s">
        <v>169</v>
      </c>
      <c r="B41" s="48" t="s">
        <v>94</v>
      </c>
      <c r="C41" s="48" t="s">
        <v>105</v>
      </c>
      <c r="D41" s="48">
        <v>1</v>
      </c>
      <c r="E41" s="48">
        <v>150</v>
      </c>
      <c r="F41" s="48">
        <v>150</v>
      </c>
      <c r="G41" s="50">
        <v>5600</v>
      </c>
      <c r="H41" s="50">
        <f t="shared" si="7"/>
        <v>37.333333333333336</v>
      </c>
      <c r="I41" s="50">
        <f t="shared" si="8"/>
        <v>5600</v>
      </c>
      <c r="J41" s="66">
        <v>46351</v>
      </c>
      <c r="K41" s="65">
        <v>47812</v>
      </c>
      <c r="L41" s="29">
        <v>50</v>
      </c>
    </row>
    <row r="42" spans="1:12">
      <c r="A42" s="51" t="s">
        <v>157</v>
      </c>
      <c r="B42" s="48" t="s">
        <v>93</v>
      </c>
      <c r="C42" s="48" t="s">
        <v>105</v>
      </c>
      <c r="D42" s="48">
        <v>1</v>
      </c>
      <c r="E42" s="48">
        <v>12</v>
      </c>
      <c r="F42" s="48">
        <v>12</v>
      </c>
      <c r="G42" s="50">
        <v>2300</v>
      </c>
      <c r="H42" s="50">
        <f t="shared" si="7"/>
        <v>191.66666666666666</v>
      </c>
      <c r="I42" s="50">
        <f t="shared" si="8"/>
        <v>2300</v>
      </c>
      <c r="J42" s="66">
        <v>46259</v>
      </c>
      <c r="K42" s="65">
        <v>49550</v>
      </c>
      <c r="L42" s="29">
        <v>250</v>
      </c>
    </row>
    <row r="43" spans="1:12">
      <c r="A43" s="51" t="s">
        <v>158</v>
      </c>
      <c r="B43" s="48" t="s">
        <v>95</v>
      </c>
      <c r="C43" s="48" t="s">
        <v>106</v>
      </c>
      <c r="D43" s="48">
        <v>10</v>
      </c>
      <c r="E43" s="48">
        <v>20</v>
      </c>
      <c r="F43" s="48">
        <v>200</v>
      </c>
      <c r="G43" s="50">
        <v>3800</v>
      </c>
      <c r="H43" s="50">
        <f>G43/F43</f>
        <v>19</v>
      </c>
      <c r="I43" s="50">
        <f t="shared" si="8"/>
        <v>3800</v>
      </c>
      <c r="J43" s="66">
        <v>46023</v>
      </c>
      <c r="K43" s="65">
        <v>46569</v>
      </c>
      <c r="L43" s="29">
        <v>25</v>
      </c>
    </row>
    <row r="44" spans="1:12">
      <c r="A44" s="51" t="s">
        <v>159</v>
      </c>
      <c r="B44" s="48" t="s">
        <v>95</v>
      </c>
      <c r="C44" s="48" t="s">
        <v>106</v>
      </c>
      <c r="D44" s="52">
        <v>10</v>
      </c>
      <c r="E44" s="52">
        <v>20</v>
      </c>
      <c r="F44" s="52">
        <v>200</v>
      </c>
      <c r="G44" s="49">
        <v>7800</v>
      </c>
      <c r="H44" s="50">
        <f>G44/F44</f>
        <v>39</v>
      </c>
      <c r="I44" s="50">
        <f t="shared" si="8"/>
        <v>7800</v>
      </c>
      <c r="J44" s="66">
        <v>45992</v>
      </c>
      <c r="K44" s="65">
        <v>46722</v>
      </c>
      <c r="L44" s="29">
        <v>50</v>
      </c>
    </row>
    <row r="45" spans="1:12">
      <c r="A45" s="51" t="s">
        <v>160</v>
      </c>
      <c r="B45" s="48" t="s">
        <v>97</v>
      </c>
      <c r="C45" s="48" t="s">
        <v>105</v>
      </c>
      <c r="D45" s="52">
        <v>1</v>
      </c>
      <c r="E45" s="52">
        <v>50</v>
      </c>
      <c r="F45" s="52">
        <v>50</v>
      </c>
      <c r="G45" s="49">
        <v>2500</v>
      </c>
      <c r="H45" s="50">
        <f>G45/F45</f>
        <v>50</v>
      </c>
      <c r="I45" s="50">
        <f t="shared" si="8"/>
        <v>2500</v>
      </c>
      <c r="J45" s="48"/>
      <c r="K45" s="65">
        <v>46722</v>
      </c>
      <c r="L45" s="29">
        <v>100</v>
      </c>
    </row>
    <row r="46" spans="1:12">
      <c r="A46" s="51" t="s">
        <v>161</v>
      </c>
      <c r="B46" s="48" t="s">
        <v>93</v>
      </c>
      <c r="C46" s="48" t="s">
        <v>105</v>
      </c>
      <c r="D46" s="52">
        <v>1</v>
      </c>
      <c r="E46" s="52">
        <v>12</v>
      </c>
      <c r="F46" s="52">
        <v>12</v>
      </c>
      <c r="G46" s="49">
        <v>850</v>
      </c>
      <c r="H46" s="50">
        <f>G46/F46</f>
        <v>70.833333333333329</v>
      </c>
      <c r="I46" s="50">
        <f t="shared" si="8"/>
        <v>850</v>
      </c>
      <c r="J46" s="48"/>
      <c r="K46" s="65">
        <v>46722</v>
      </c>
      <c r="L46" s="29">
        <v>100</v>
      </c>
    </row>
    <row r="47" spans="1:12">
      <c r="A47" s="51" t="s">
        <v>171</v>
      </c>
      <c r="B47" s="48" t="s">
        <v>91</v>
      </c>
      <c r="C47" s="48" t="s">
        <v>106</v>
      </c>
      <c r="D47" s="52">
        <v>1</v>
      </c>
      <c r="E47" s="52">
        <v>12</v>
      </c>
      <c r="F47" s="52">
        <v>12</v>
      </c>
      <c r="G47" s="49">
        <v>7500</v>
      </c>
      <c r="H47" s="50">
        <f t="shared" ref="H47:H53" si="9">G47/F47</f>
        <v>625</v>
      </c>
      <c r="I47" s="50">
        <f t="shared" si="8"/>
        <v>7500</v>
      </c>
      <c r="J47" s="48"/>
      <c r="K47" s="65">
        <v>46722</v>
      </c>
      <c r="L47" s="29">
        <v>850</v>
      </c>
    </row>
    <row r="48" spans="1:12">
      <c r="A48" s="51" t="s">
        <v>162</v>
      </c>
      <c r="B48" s="48" t="s">
        <v>91</v>
      </c>
      <c r="C48" s="48" t="s">
        <v>106</v>
      </c>
      <c r="D48" s="48">
        <v>1</v>
      </c>
      <c r="E48" s="48">
        <v>150</v>
      </c>
      <c r="F48" s="48">
        <v>150</v>
      </c>
      <c r="G48" s="49">
        <v>8500</v>
      </c>
      <c r="H48" s="50">
        <f t="shared" si="9"/>
        <v>56.666666666666664</v>
      </c>
      <c r="I48" s="50">
        <f t="shared" si="8"/>
        <v>8500</v>
      </c>
      <c r="J48" s="66">
        <v>46009</v>
      </c>
      <c r="K48" s="65">
        <v>46556</v>
      </c>
      <c r="L48" s="29">
        <v>75</v>
      </c>
    </row>
    <row r="49" spans="1:12">
      <c r="A49" s="51" t="s">
        <v>163</v>
      </c>
      <c r="B49" s="48" t="s">
        <v>95</v>
      </c>
      <c r="C49" s="48" t="s">
        <v>106</v>
      </c>
      <c r="D49" s="48">
        <v>10</v>
      </c>
      <c r="E49" s="48">
        <v>20</v>
      </c>
      <c r="F49" s="48">
        <v>200</v>
      </c>
      <c r="G49" s="49">
        <v>4000</v>
      </c>
      <c r="H49" s="50">
        <f t="shared" si="9"/>
        <v>20</v>
      </c>
      <c r="I49" s="50">
        <f t="shared" si="8"/>
        <v>4000</v>
      </c>
      <c r="J49" s="66">
        <v>46023</v>
      </c>
      <c r="K49" s="65">
        <v>46569</v>
      </c>
      <c r="L49" s="29">
        <v>25</v>
      </c>
    </row>
    <row r="50" spans="1:12">
      <c r="A50" s="51" t="s">
        <v>164</v>
      </c>
      <c r="B50" s="48" t="s">
        <v>91</v>
      </c>
      <c r="C50" s="48" t="s">
        <v>106</v>
      </c>
      <c r="D50" s="48">
        <v>6</v>
      </c>
      <c r="E50" s="48">
        <v>50</v>
      </c>
      <c r="F50" s="48">
        <v>300</v>
      </c>
      <c r="G50" s="49">
        <v>12000</v>
      </c>
      <c r="H50" s="50">
        <f t="shared" si="9"/>
        <v>40</v>
      </c>
      <c r="I50" s="50">
        <f t="shared" si="8"/>
        <v>12000</v>
      </c>
      <c r="J50" s="66">
        <v>46159</v>
      </c>
      <c r="K50" s="65">
        <v>46524</v>
      </c>
      <c r="L50" s="29">
        <v>50</v>
      </c>
    </row>
    <row r="51" spans="1:12">
      <c r="A51" s="51" t="s">
        <v>165</v>
      </c>
      <c r="B51" s="48" t="s">
        <v>98</v>
      </c>
      <c r="C51" s="48" t="s">
        <v>105</v>
      </c>
      <c r="D51" s="48">
        <v>1</v>
      </c>
      <c r="E51" s="48">
        <v>240</v>
      </c>
      <c r="F51" s="48">
        <v>240</v>
      </c>
      <c r="G51" s="49">
        <v>4500</v>
      </c>
      <c r="H51" s="50">
        <f t="shared" si="9"/>
        <v>18.75</v>
      </c>
      <c r="I51" s="50">
        <f t="shared" si="8"/>
        <v>4500</v>
      </c>
      <c r="J51" s="66">
        <v>46143</v>
      </c>
      <c r="K51" s="65">
        <v>46507</v>
      </c>
      <c r="L51" s="29">
        <v>25</v>
      </c>
    </row>
    <row r="52" spans="1:12">
      <c r="A52" s="51" t="s">
        <v>166</v>
      </c>
      <c r="B52" s="48" t="s">
        <v>98</v>
      </c>
      <c r="C52" s="48" t="s">
        <v>105</v>
      </c>
      <c r="D52" s="48">
        <v>1</v>
      </c>
      <c r="E52" s="48">
        <v>120</v>
      </c>
      <c r="F52" s="48">
        <v>120</v>
      </c>
      <c r="G52" s="49">
        <v>4800</v>
      </c>
      <c r="H52" s="50">
        <f t="shared" si="9"/>
        <v>40</v>
      </c>
      <c r="I52" s="50">
        <f t="shared" si="8"/>
        <v>4800</v>
      </c>
      <c r="J52" s="66">
        <v>46143</v>
      </c>
      <c r="K52" s="65">
        <v>46507</v>
      </c>
      <c r="L52" s="29">
        <v>50</v>
      </c>
    </row>
    <row r="53" spans="1:12">
      <c r="A53" s="51" t="s">
        <v>168</v>
      </c>
      <c r="B53" s="48" t="s">
        <v>98</v>
      </c>
      <c r="C53" s="48" t="s">
        <v>105</v>
      </c>
      <c r="D53" s="48">
        <v>1</v>
      </c>
      <c r="E53" s="48">
        <v>12</v>
      </c>
      <c r="F53" s="48">
        <v>120</v>
      </c>
      <c r="G53" s="49">
        <v>4700</v>
      </c>
      <c r="H53" s="50">
        <f t="shared" si="9"/>
        <v>39.166666666666664</v>
      </c>
      <c r="I53" s="50">
        <f t="shared" si="8"/>
        <v>4700</v>
      </c>
      <c r="J53" s="48"/>
      <c r="K53" s="65">
        <v>46447</v>
      </c>
      <c r="L53" s="29">
        <v>50</v>
      </c>
    </row>
    <row r="54" spans="1:12">
      <c r="A54" s="51" t="s">
        <v>167</v>
      </c>
      <c r="B54" s="48" t="s">
        <v>93</v>
      </c>
      <c r="C54" s="48" t="s">
        <v>105</v>
      </c>
      <c r="D54" s="48">
        <v>1</v>
      </c>
      <c r="E54" s="52">
        <v>48</v>
      </c>
      <c r="F54" s="48">
        <v>48</v>
      </c>
      <c r="G54" s="49">
        <v>11500</v>
      </c>
      <c r="H54" s="50">
        <f t="shared" ref="H54:H68" si="10">G54/E54</f>
        <v>239.58333333333334</v>
      </c>
      <c r="I54" s="50">
        <f t="shared" ref="I54:I66" si="11">H54*F54</f>
        <v>11500</v>
      </c>
      <c r="J54" s="48"/>
      <c r="K54" s="55"/>
      <c r="L54" s="29">
        <v>200</v>
      </c>
    </row>
    <row r="55" spans="1:12">
      <c r="A55" s="51" t="s">
        <v>185</v>
      </c>
      <c r="B55" s="48" t="s">
        <v>51</v>
      </c>
      <c r="C55" s="48" t="s">
        <v>54</v>
      </c>
      <c r="D55" s="48">
        <v>1</v>
      </c>
      <c r="E55" s="52">
        <v>12</v>
      </c>
      <c r="F55" s="48">
        <v>12</v>
      </c>
      <c r="G55" s="49">
        <v>11500</v>
      </c>
      <c r="H55" s="50">
        <f t="shared" si="10"/>
        <v>958.33333333333337</v>
      </c>
      <c r="I55" s="50">
        <f t="shared" si="11"/>
        <v>11500</v>
      </c>
      <c r="J55" s="48"/>
      <c r="K55" s="55"/>
      <c r="L55" s="29">
        <v>1200</v>
      </c>
    </row>
    <row r="56" spans="1:12">
      <c r="A56" s="48" t="s">
        <v>172</v>
      </c>
      <c r="B56" s="48" t="s">
        <v>51</v>
      </c>
      <c r="C56" s="48" t="s">
        <v>54</v>
      </c>
      <c r="D56" s="48">
        <v>1</v>
      </c>
      <c r="E56" s="52">
        <v>12</v>
      </c>
      <c r="F56" s="48">
        <v>12</v>
      </c>
      <c r="G56" s="49">
        <v>12000</v>
      </c>
      <c r="H56" s="50">
        <f t="shared" si="10"/>
        <v>1000</v>
      </c>
      <c r="I56" s="50">
        <f t="shared" si="11"/>
        <v>12000</v>
      </c>
      <c r="J56" s="66">
        <v>46137</v>
      </c>
      <c r="K56" s="55"/>
      <c r="L56" s="29">
        <v>1200</v>
      </c>
    </row>
    <row r="57" spans="1:12">
      <c r="A57" s="48" t="s">
        <v>173</v>
      </c>
      <c r="B57" s="48" t="s">
        <v>51</v>
      </c>
      <c r="C57" s="48" t="s">
        <v>54</v>
      </c>
      <c r="D57" s="48">
        <v>1</v>
      </c>
      <c r="E57" s="52">
        <v>12</v>
      </c>
      <c r="F57" s="48">
        <v>12</v>
      </c>
      <c r="G57" s="49">
        <v>11500</v>
      </c>
      <c r="H57" s="50">
        <f t="shared" si="10"/>
        <v>958.33333333333337</v>
      </c>
      <c r="I57" s="50">
        <f t="shared" si="11"/>
        <v>11500</v>
      </c>
      <c r="J57" s="66">
        <v>46045</v>
      </c>
      <c r="K57" s="55"/>
      <c r="L57" s="29">
        <v>1200</v>
      </c>
    </row>
    <row r="58" spans="1:12">
      <c r="A58" s="53" t="s">
        <v>174</v>
      </c>
      <c r="B58" s="48" t="s">
        <v>51</v>
      </c>
      <c r="C58" s="48" t="s">
        <v>54</v>
      </c>
      <c r="D58" s="48">
        <v>1</v>
      </c>
      <c r="E58" s="52">
        <v>12</v>
      </c>
      <c r="F58" s="48">
        <v>12</v>
      </c>
      <c r="G58" s="49">
        <v>7500</v>
      </c>
      <c r="H58" s="50">
        <f t="shared" si="10"/>
        <v>625</v>
      </c>
      <c r="I58" s="50">
        <f t="shared" si="11"/>
        <v>7500</v>
      </c>
      <c r="J58" s="48"/>
      <c r="K58" s="65"/>
      <c r="L58" s="29">
        <v>1200</v>
      </c>
    </row>
    <row r="59" spans="1:12">
      <c r="A59" s="48" t="s">
        <v>175</v>
      </c>
      <c r="B59" s="48" t="s">
        <v>91</v>
      </c>
      <c r="C59" s="48" t="s">
        <v>54</v>
      </c>
      <c r="D59" s="48">
        <v>1</v>
      </c>
      <c r="E59" s="52">
        <v>15</v>
      </c>
      <c r="F59" s="48">
        <v>1</v>
      </c>
      <c r="G59" s="49">
        <v>21000</v>
      </c>
      <c r="H59" s="50">
        <f t="shared" si="10"/>
        <v>1400</v>
      </c>
      <c r="I59" s="50">
        <f t="shared" si="11"/>
        <v>1400</v>
      </c>
      <c r="J59" s="66">
        <v>46101</v>
      </c>
      <c r="K59" s="65">
        <v>46914</v>
      </c>
      <c r="L59" s="29">
        <v>1500</v>
      </c>
    </row>
    <row r="60" spans="1:12">
      <c r="A60" s="48" t="s">
        <v>176</v>
      </c>
      <c r="B60" s="48" t="s">
        <v>271</v>
      </c>
      <c r="C60" s="48" t="s">
        <v>272</v>
      </c>
      <c r="D60" s="48">
        <v>1</v>
      </c>
      <c r="E60" s="48">
        <v>50</v>
      </c>
      <c r="F60" s="48">
        <v>50</v>
      </c>
      <c r="G60" s="49">
        <v>4300</v>
      </c>
      <c r="H60" s="50">
        <f t="shared" si="10"/>
        <v>86</v>
      </c>
      <c r="I60" s="50">
        <f t="shared" si="11"/>
        <v>4300</v>
      </c>
      <c r="J60" s="66">
        <v>46038</v>
      </c>
      <c r="K60" s="65">
        <v>46874</v>
      </c>
      <c r="L60" s="29">
        <v>100</v>
      </c>
    </row>
    <row r="61" spans="1:12">
      <c r="A61" s="48" t="s">
        <v>177</v>
      </c>
      <c r="B61" s="48" t="s">
        <v>96</v>
      </c>
      <c r="C61" s="48" t="s">
        <v>105</v>
      </c>
      <c r="D61" s="48">
        <v>1</v>
      </c>
      <c r="E61" s="48">
        <v>48</v>
      </c>
      <c r="F61" s="48">
        <v>48</v>
      </c>
      <c r="G61" s="49">
        <v>1800</v>
      </c>
      <c r="H61" s="50">
        <f t="shared" si="10"/>
        <v>37.5</v>
      </c>
      <c r="I61" s="50">
        <f t="shared" si="11"/>
        <v>1800</v>
      </c>
      <c r="J61" s="66">
        <v>45809</v>
      </c>
      <c r="K61" s="65">
        <v>46508</v>
      </c>
      <c r="L61" s="29">
        <v>50</v>
      </c>
    </row>
    <row r="62" spans="1:12">
      <c r="A62" s="48" t="s">
        <v>262</v>
      </c>
      <c r="B62" s="48" t="s">
        <v>263</v>
      </c>
      <c r="C62" s="48" t="s">
        <v>106</v>
      </c>
      <c r="D62" s="48">
        <v>1</v>
      </c>
      <c r="E62" s="48">
        <v>12</v>
      </c>
      <c r="F62" s="48">
        <v>12</v>
      </c>
      <c r="G62" s="49">
        <v>6700</v>
      </c>
      <c r="H62" s="50">
        <f t="shared" si="10"/>
        <v>558.33333333333337</v>
      </c>
      <c r="I62" s="50">
        <f t="shared" si="11"/>
        <v>6700</v>
      </c>
      <c r="J62" s="66">
        <v>45818</v>
      </c>
      <c r="K62" s="65">
        <v>46913</v>
      </c>
      <c r="L62" s="29">
        <v>650</v>
      </c>
    </row>
    <row r="63" spans="1:12">
      <c r="A63" s="48" t="s">
        <v>264</v>
      </c>
      <c r="B63" s="48" t="s">
        <v>263</v>
      </c>
      <c r="C63" s="48" t="s">
        <v>106</v>
      </c>
      <c r="D63" s="48">
        <v>1</v>
      </c>
      <c r="E63" s="48">
        <v>6</v>
      </c>
      <c r="F63" s="48">
        <v>6</v>
      </c>
      <c r="G63" s="49">
        <v>2500</v>
      </c>
      <c r="H63" s="50">
        <f t="shared" si="10"/>
        <v>416.66666666666669</v>
      </c>
      <c r="I63" s="50">
        <f t="shared" si="11"/>
        <v>2500</v>
      </c>
      <c r="J63" s="66">
        <v>46163</v>
      </c>
      <c r="K63" s="65">
        <v>47258</v>
      </c>
      <c r="L63" s="29">
        <v>600</v>
      </c>
    </row>
    <row r="64" spans="1:12">
      <c r="A64" s="48" t="s">
        <v>178</v>
      </c>
      <c r="B64" s="48" t="s">
        <v>263</v>
      </c>
      <c r="C64" s="48" t="s">
        <v>106</v>
      </c>
      <c r="D64" s="48">
        <v>1</v>
      </c>
      <c r="E64" s="48">
        <v>6</v>
      </c>
      <c r="F64" s="48">
        <v>6</v>
      </c>
      <c r="G64" s="49">
        <v>2500</v>
      </c>
      <c r="H64" s="50">
        <f t="shared" si="10"/>
        <v>416.66666666666669</v>
      </c>
      <c r="I64" s="50">
        <f t="shared" si="11"/>
        <v>2500</v>
      </c>
      <c r="J64" s="66">
        <v>46093</v>
      </c>
      <c r="K64" s="65">
        <v>47188</v>
      </c>
      <c r="L64" s="29">
        <v>600</v>
      </c>
    </row>
    <row r="65" spans="1:12">
      <c r="A65" s="48" t="s">
        <v>179</v>
      </c>
      <c r="B65" s="48" t="s">
        <v>265</v>
      </c>
      <c r="C65" s="48" t="s">
        <v>266</v>
      </c>
      <c r="D65" s="48">
        <v>1</v>
      </c>
      <c r="E65" s="48">
        <v>100</v>
      </c>
      <c r="F65" s="48">
        <v>100</v>
      </c>
      <c r="G65" s="49">
        <v>850</v>
      </c>
      <c r="H65" s="50">
        <f t="shared" si="10"/>
        <v>8.5</v>
      </c>
      <c r="I65" s="50">
        <f t="shared" si="11"/>
        <v>850</v>
      </c>
      <c r="J65" s="66">
        <v>46113</v>
      </c>
      <c r="K65" s="65">
        <v>46592</v>
      </c>
      <c r="L65" s="29">
        <f>25/2</f>
        <v>12.5</v>
      </c>
    </row>
    <row r="66" spans="1:12">
      <c r="A66" s="48" t="s">
        <v>267</v>
      </c>
      <c r="B66" s="48" t="s">
        <v>96</v>
      </c>
      <c r="C66" s="48" t="s">
        <v>268</v>
      </c>
      <c r="D66" s="48">
        <v>1</v>
      </c>
      <c r="E66" s="48">
        <v>98</v>
      </c>
      <c r="F66" s="48">
        <v>98</v>
      </c>
      <c r="G66" s="49">
        <v>1300</v>
      </c>
      <c r="H66" s="50">
        <f t="shared" si="10"/>
        <v>13.26530612244898</v>
      </c>
      <c r="I66" s="50">
        <f t="shared" si="11"/>
        <v>1300</v>
      </c>
      <c r="J66" s="66">
        <v>45993</v>
      </c>
      <c r="K66" s="65">
        <v>46539</v>
      </c>
      <c r="L66" s="29">
        <v>25</v>
      </c>
    </row>
    <row r="67" spans="1:12">
      <c r="A67" s="48" t="s">
        <v>180</v>
      </c>
      <c r="B67" s="48" t="s">
        <v>269</v>
      </c>
      <c r="C67" s="48" t="s">
        <v>54</v>
      </c>
      <c r="D67" s="48">
        <v>1</v>
      </c>
      <c r="E67" s="48">
        <v>24</v>
      </c>
      <c r="F67" s="48">
        <v>24</v>
      </c>
      <c r="G67" s="49">
        <v>7800</v>
      </c>
      <c r="H67" s="50">
        <f t="shared" si="10"/>
        <v>325</v>
      </c>
      <c r="I67" s="50">
        <f t="shared" ref="I67:I68" si="12">H67*F67</f>
        <v>7800</v>
      </c>
      <c r="J67" s="66">
        <v>46190</v>
      </c>
      <c r="K67" s="65">
        <v>46555</v>
      </c>
      <c r="L67" s="29">
        <v>350</v>
      </c>
    </row>
    <row r="68" spans="1:12">
      <c r="A68" s="48" t="s">
        <v>181</v>
      </c>
      <c r="B68" s="48" t="s">
        <v>270</v>
      </c>
      <c r="C68" s="48" t="s">
        <v>106</v>
      </c>
      <c r="D68" s="48">
        <v>1</v>
      </c>
      <c r="E68" s="48">
        <v>60</v>
      </c>
      <c r="F68" s="48">
        <v>60</v>
      </c>
      <c r="G68" s="49">
        <v>11500</v>
      </c>
      <c r="H68" s="50">
        <f t="shared" si="10"/>
        <v>191.66666666666666</v>
      </c>
      <c r="I68" s="50">
        <f t="shared" si="12"/>
        <v>11500</v>
      </c>
      <c r="J68" s="66">
        <v>45920</v>
      </c>
      <c r="K68" s="65">
        <v>47015</v>
      </c>
      <c r="L68" s="29">
        <v>400</v>
      </c>
    </row>
    <row r="69" spans="1:12">
      <c r="A69" s="29" t="s">
        <v>222</v>
      </c>
      <c r="B69" s="29" t="s">
        <v>102</v>
      </c>
      <c r="C69" s="29" t="s">
        <v>54</v>
      </c>
      <c r="D69" s="29"/>
      <c r="E69" s="29">
        <v>12</v>
      </c>
      <c r="F69" s="29">
        <f t="shared" ref="F69:F82" si="13">D69*E69</f>
        <v>0</v>
      </c>
      <c r="H69" s="29">
        <f t="shared" ref="H69:H82" si="14">G69/E69</f>
        <v>0</v>
      </c>
      <c r="I69" s="29">
        <f t="shared" ref="I69:I82" si="15">H69*F69</f>
        <v>0</v>
      </c>
      <c r="J69" s="29"/>
      <c r="K69" s="56"/>
      <c r="L69" s="29"/>
    </row>
    <row r="70" spans="1:12">
      <c r="A70" s="29" t="s">
        <v>244</v>
      </c>
      <c r="B70" s="29" t="s">
        <v>100</v>
      </c>
      <c r="C70" s="29" t="s">
        <v>105</v>
      </c>
      <c r="D70" s="29"/>
      <c r="E70" s="29"/>
      <c r="F70" s="29">
        <f t="shared" si="13"/>
        <v>0</v>
      </c>
      <c r="H70" s="29" t="e">
        <f t="shared" si="14"/>
        <v>#DIV/0!</v>
      </c>
      <c r="I70" s="29" t="e">
        <f t="shared" si="15"/>
        <v>#DIV/0!</v>
      </c>
      <c r="J70" s="29"/>
      <c r="K70" s="56"/>
      <c r="L70" s="29"/>
    </row>
    <row r="71" spans="1:12">
      <c r="A71" s="29" t="s">
        <v>240</v>
      </c>
      <c r="B71" s="29" t="s">
        <v>93</v>
      </c>
      <c r="C71" s="29" t="s">
        <v>107</v>
      </c>
      <c r="D71" s="29"/>
      <c r="E71" s="29">
        <v>12</v>
      </c>
      <c r="F71" s="29">
        <f t="shared" si="13"/>
        <v>0</v>
      </c>
      <c r="H71" s="29">
        <f t="shared" si="14"/>
        <v>0</v>
      </c>
      <c r="I71" s="29">
        <f t="shared" si="15"/>
        <v>0</v>
      </c>
      <c r="J71" s="29"/>
      <c r="K71" s="56"/>
      <c r="L71" s="29"/>
    </row>
    <row r="72" spans="1:12">
      <c r="A72" s="29" t="s">
        <v>227</v>
      </c>
      <c r="B72" s="29" t="s">
        <v>102</v>
      </c>
      <c r="C72" s="29" t="s">
        <v>54</v>
      </c>
      <c r="D72" s="29"/>
      <c r="E72" s="29">
        <v>12</v>
      </c>
      <c r="F72" s="29">
        <f t="shared" si="13"/>
        <v>0</v>
      </c>
      <c r="H72" s="29">
        <f t="shared" si="14"/>
        <v>0</v>
      </c>
      <c r="I72" s="29">
        <f t="shared" si="15"/>
        <v>0</v>
      </c>
      <c r="J72" s="29"/>
      <c r="K72" s="56"/>
      <c r="L72" s="29"/>
    </row>
    <row r="73" spans="1:12">
      <c r="A73" s="29" t="s">
        <v>220</v>
      </c>
      <c r="B73" s="29" t="s">
        <v>88</v>
      </c>
      <c r="C73" s="29" t="s">
        <v>54</v>
      </c>
      <c r="D73" s="29"/>
      <c r="E73" s="29">
        <v>12</v>
      </c>
      <c r="F73" s="29">
        <f t="shared" si="13"/>
        <v>0</v>
      </c>
      <c r="H73" s="29">
        <f t="shared" si="14"/>
        <v>0</v>
      </c>
      <c r="I73" s="29">
        <f t="shared" si="15"/>
        <v>0</v>
      </c>
      <c r="J73" s="29"/>
      <c r="K73" s="56"/>
      <c r="L73" s="29"/>
    </row>
    <row r="74" spans="1:12">
      <c r="A74" s="29" t="s">
        <v>221</v>
      </c>
      <c r="B74" s="29" t="s">
        <v>88</v>
      </c>
      <c r="C74" s="29" t="s">
        <v>54</v>
      </c>
      <c r="D74" s="29"/>
      <c r="E74" s="29">
        <v>12</v>
      </c>
      <c r="F74" s="29">
        <f t="shared" si="13"/>
        <v>0</v>
      </c>
      <c r="H74" s="29">
        <f t="shared" si="14"/>
        <v>0</v>
      </c>
      <c r="I74" s="29">
        <f t="shared" si="15"/>
        <v>0</v>
      </c>
      <c r="J74" s="29"/>
      <c r="K74" s="56"/>
      <c r="L74" s="29"/>
    </row>
    <row r="75" spans="1:12">
      <c r="A75" s="29" t="s">
        <v>254</v>
      </c>
      <c r="B75" s="29" t="s">
        <v>63</v>
      </c>
      <c r="C75" s="29" t="s">
        <v>105</v>
      </c>
      <c r="D75" s="29"/>
      <c r="E75" s="29">
        <v>1</v>
      </c>
      <c r="F75" s="29">
        <f t="shared" si="13"/>
        <v>0</v>
      </c>
      <c r="H75" s="29">
        <f t="shared" si="14"/>
        <v>0</v>
      </c>
      <c r="I75" s="29">
        <f t="shared" si="15"/>
        <v>0</v>
      </c>
      <c r="J75" s="29"/>
      <c r="K75" s="56"/>
      <c r="L75" s="29"/>
    </row>
    <row r="76" spans="1:12">
      <c r="A76" s="29" t="s">
        <v>249</v>
      </c>
      <c r="B76" s="29" t="s">
        <v>99</v>
      </c>
      <c r="C76" s="29" t="s">
        <v>105</v>
      </c>
      <c r="D76" s="29"/>
      <c r="E76" s="29"/>
      <c r="F76" s="29">
        <f t="shared" si="13"/>
        <v>0</v>
      </c>
      <c r="H76" s="29" t="e">
        <f t="shared" si="14"/>
        <v>#DIV/0!</v>
      </c>
      <c r="I76" s="29" t="e">
        <f t="shared" si="15"/>
        <v>#DIV/0!</v>
      </c>
      <c r="J76" s="29"/>
      <c r="K76" s="56"/>
      <c r="L76" s="29"/>
    </row>
    <row r="77" spans="1:12">
      <c r="A77" s="29" t="s">
        <v>223</v>
      </c>
      <c r="B77" s="29" t="s">
        <v>102</v>
      </c>
      <c r="C77" s="29" t="s">
        <v>54</v>
      </c>
      <c r="D77" s="29"/>
      <c r="E77" s="29">
        <v>12</v>
      </c>
      <c r="F77" s="29">
        <f t="shared" si="13"/>
        <v>0</v>
      </c>
      <c r="H77" s="29">
        <f t="shared" si="14"/>
        <v>0</v>
      </c>
      <c r="I77" s="29">
        <f t="shared" si="15"/>
        <v>0</v>
      </c>
      <c r="J77" s="29"/>
      <c r="K77" s="56"/>
      <c r="L77" s="29"/>
    </row>
    <row r="78" spans="1:12">
      <c r="A78" s="29" t="s">
        <v>247</v>
      </c>
      <c r="B78" s="29" t="s">
        <v>94</v>
      </c>
      <c r="C78" s="29" t="s">
        <v>105</v>
      </c>
      <c r="D78" s="29"/>
      <c r="E78" s="29"/>
      <c r="F78" s="29">
        <f t="shared" si="13"/>
        <v>0</v>
      </c>
      <c r="H78" s="29" t="e">
        <f t="shared" si="14"/>
        <v>#DIV/0!</v>
      </c>
      <c r="I78" s="29" t="e">
        <f t="shared" si="15"/>
        <v>#DIV/0!</v>
      </c>
      <c r="J78" s="29"/>
      <c r="K78" s="56"/>
      <c r="L78" s="29"/>
    </row>
    <row r="79" spans="1:12">
      <c r="A79" s="29" t="s">
        <v>229</v>
      </c>
      <c r="B79" s="29" t="s">
        <v>102</v>
      </c>
      <c r="C79" s="29" t="s">
        <v>54</v>
      </c>
      <c r="D79" s="29"/>
      <c r="E79" s="29">
        <v>12</v>
      </c>
      <c r="F79" s="29">
        <f t="shared" si="13"/>
        <v>0</v>
      </c>
      <c r="H79" s="29">
        <f t="shared" si="14"/>
        <v>0</v>
      </c>
      <c r="I79" s="29">
        <f t="shared" si="15"/>
        <v>0</v>
      </c>
      <c r="J79" s="29"/>
      <c r="K79" s="56"/>
      <c r="L79" s="29"/>
    </row>
    <row r="80" spans="1:12">
      <c r="A80" s="29" t="s">
        <v>250</v>
      </c>
      <c r="B80" s="29" t="s">
        <v>99</v>
      </c>
      <c r="C80" s="29" t="s">
        <v>105</v>
      </c>
      <c r="D80" s="29"/>
      <c r="E80" s="29"/>
      <c r="F80" s="29">
        <f t="shared" si="13"/>
        <v>0</v>
      </c>
      <c r="H80" s="29" t="e">
        <f t="shared" si="14"/>
        <v>#DIV/0!</v>
      </c>
      <c r="I80" s="29" t="e">
        <f t="shared" si="15"/>
        <v>#DIV/0!</v>
      </c>
      <c r="J80" s="29"/>
      <c r="K80" s="56"/>
      <c r="L80" s="29"/>
    </row>
    <row r="81" spans="1:12">
      <c r="A81" s="29" t="s">
        <v>236</v>
      </c>
      <c r="B81" s="29" t="s">
        <v>101</v>
      </c>
      <c r="C81" s="29" t="s">
        <v>54</v>
      </c>
      <c r="D81" s="29"/>
      <c r="E81" s="29">
        <v>12</v>
      </c>
      <c r="F81" s="29">
        <f t="shared" si="13"/>
        <v>0</v>
      </c>
      <c r="H81" s="29">
        <f t="shared" si="14"/>
        <v>0</v>
      </c>
      <c r="I81" s="29">
        <f t="shared" si="15"/>
        <v>0</v>
      </c>
      <c r="J81" s="29"/>
      <c r="K81" s="56"/>
      <c r="L81" s="29"/>
    </row>
    <row r="82" spans="1:12">
      <c r="A82" s="29" t="s">
        <v>233</v>
      </c>
      <c r="B82" s="29" t="s">
        <v>102</v>
      </c>
      <c r="C82" s="29" t="s">
        <v>54</v>
      </c>
      <c r="D82" s="29"/>
      <c r="E82" s="29">
        <v>12</v>
      </c>
      <c r="F82" s="29">
        <f t="shared" si="13"/>
        <v>0</v>
      </c>
      <c r="H82" s="29">
        <f t="shared" si="14"/>
        <v>0</v>
      </c>
      <c r="I82" s="29">
        <f t="shared" si="15"/>
        <v>0</v>
      </c>
      <c r="J82" s="29"/>
      <c r="K82" s="56"/>
      <c r="L82" s="29"/>
    </row>
    <row r="83" spans="1:12">
      <c r="A83" s="29" t="s">
        <v>226</v>
      </c>
      <c r="B83" s="29" t="s">
        <v>102</v>
      </c>
      <c r="C83" s="29" t="s">
        <v>54</v>
      </c>
      <c r="D83" s="29"/>
      <c r="E83" s="29">
        <v>12</v>
      </c>
      <c r="F83" s="29">
        <f t="shared" ref="F83:F89" si="16">D83*E83</f>
        <v>0</v>
      </c>
      <c r="H83" s="34">
        <f t="shared" ref="H83:H89" si="17">G83/E83</f>
        <v>0</v>
      </c>
      <c r="I83" s="34">
        <f t="shared" ref="I83:I89" si="18">H83*F83</f>
        <v>0</v>
      </c>
      <c r="J83" s="29"/>
      <c r="K83" s="56"/>
      <c r="L83" s="29"/>
    </row>
    <row r="84" spans="1:12">
      <c r="A84" s="29" t="s">
        <v>230</v>
      </c>
      <c r="B84" s="29" t="s">
        <v>102</v>
      </c>
      <c r="C84" s="29" t="s">
        <v>54</v>
      </c>
      <c r="D84" s="29"/>
      <c r="E84" s="29">
        <v>12</v>
      </c>
      <c r="F84" s="29">
        <f t="shared" si="16"/>
        <v>0</v>
      </c>
      <c r="H84" s="34">
        <f t="shared" si="17"/>
        <v>0</v>
      </c>
      <c r="I84" s="34">
        <f t="shared" si="18"/>
        <v>0</v>
      </c>
      <c r="J84" s="29"/>
      <c r="K84" s="56"/>
      <c r="L84" s="29"/>
    </row>
    <row r="85" spans="1:12">
      <c r="A85" s="29" t="s">
        <v>241</v>
      </c>
      <c r="B85" s="29" t="s">
        <v>50</v>
      </c>
      <c r="C85" s="29" t="s">
        <v>54</v>
      </c>
      <c r="D85" s="29"/>
      <c r="E85" s="29">
        <v>6</v>
      </c>
      <c r="F85" s="29">
        <f t="shared" si="16"/>
        <v>0</v>
      </c>
      <c r="H85" s="34">
        <f t="shared" si="17"/>
        <v>0</v>
      </c>
      <c r="I85" s="34">
        <f t="shared" si="18"/>
        <v>0</v>
      </c>
      <c r="J85" s="29"/>
      <c r="K85" s="56"/>
      <c r="L85" s="29"/>
    </row>
    <row r="86" spans="1:12">
      <c r="A86" s="29" t="s">
        <v>242</v>
      </c>
      <c r="B86" s="29" t="s">
        <v>50</v>
      </c>
      <c r="C86" s="29" t="s">
        <v>54</v>
      </c>
      <c r="D86" s="29"/>
      <c r="E86" s="29">
        <v>6</v>
      </c>
      <c r="F86" s="29">
        <f t="shared" si="16"/>
        <v>0</v>
      </c>
      <c r="H86" s="34">
        <f t="shared" si="17"/>
        <v>0</v>
      </c>
      <c r="I86" s="34">
        <f t="shared" si="18"/>
        <v>0</v>
      </c>
      <c r="J86" s="29"/>
      <c r="K86" s="56"/>
      <c r="L86" s="29"/>
    </row>
    <row r="87" spans="1:12">
      <c r="A87" s="29" t="s">
        <v>243</v>
      </c>
      <c r="B87" s="29" t="s">
        <v>50</v>
      </c>
      <c r="C87" s="29" t="s">
        <v>54</v>
      </c>
      <c r="D87" s="29"/>
      <c r="E87" s="29">
        <v>6</v>
      </c>
      <c r="F87" s="29">
        <f t="shared" si="16"/>
        <v>0</v>
      </c>
      <c r="H87" s="34">
        <f t="shared" si="17"/>
        <v>0</v>
      </c>
      <c r="I87" s="34">
        <f t="shared" si="18"/>
        <v>0</v>
      </c>
      <c r="J87" s="29"/>
      <c r="K87" s="56"/>
      <c r="L87" s="29"/>
    </row>
    <row r="88" spans="1:12">
      <c r="A88" s="29" t="s">
        <v>224</v>
      </c>
      <c r="B88" s="29" t="s">
        <v>102</v>
      </c>
      <c r="C88" s="29" t="s">
        <v>54</v>
      </c>
      <c r="D88" s="29"/>
      <c r="E88" s="29">
        <v>12</v>
      </c>
      <c r="F88" s="29">
        <f t="shared" si="16"/>
        <v>0</v>
      </c>
      <c r="H88" s="34">
        <f t="shared" si="17"/>
        <v>0</v>
      </c>
      <c r="I88" s="34">
        <f t="shared" si="18"/>
        <v>0</v>
      </c>
      <c r="J88" s="29"/>
      <c r="K88" s="56"/>
      <c r="L88" s="29"/>
    </row>
    <row r="89" spans="1:12">
      <c r="A89" s="29" t="s">
        <v>253</v>
      </c>
      <c r="B89" s="29" t="s">
        <v>182</v>
      </c>
      <c r="C89" s="29" t="s">
        <v>105</v>
      </c>
      <c r="D89" s="29"/>
      <c r="E89" s="29">
        <v>250</v>
      </c>
      <c r="F89" s="29">
        <f t="shared" si="16"/>
        <v>0</v>
      </c>
      <c r="H89" s="34">
        <f t="shared" si="17"/>
        <v>0</v>
      </c>
      <c r="I89" s="34">
        <f t="shared" si="18"/>
        <v>0</v>
      </c>
      <c r="J89" s="29"/>
      <c r="K89" s="56"/>
      <c r="L89" s="29"/>
    </row>
    <row r="90" spans="1:12">
      <c r="A90" s="29" t="s">
        <v>237</v>
      </c>
      <c r="B90" s="29" t="s">
        <v>101</v>
      </c>
      <c r="C90" s="29" t="s">
        <v>54</v>
      </c>
      <c r="D90" s="29"/>
      <c r="E90" s="29">
        <v>24</v>
      </c>
      <c r="F90" s="29">
        <f t="shared" ref="F90:F92" si="19">D90*E90</f>
        <v>0</v>
      </c>
      <c r="H90" s="34">
        <f t="shared" ref="H90:H92" si="20">G90/E90</f>
        <v>0</v>
      </c>
      <c r="I90" s="34">
        <f t="shared" ref="I90:I92" si="21">H90*F90</f>
        <v>0</v>
      </c>
      <c r="J90" s="29"/>
      <c r="K90" s="56"/>
      <c r="L90" s="29"/>
    </row>
    <row r="91" spans="1:12">
      <c r="A91" s="29" t="s">
        <v>225</v>
      </c>
      <c r="B91" s="29" t="s">
        <v>102</v>
      </c>
      <c r="C91" s="29" t="s">
        <v>54</v>
      </c>
      <c r="D91" s="29"/>
      <c r="E91" s="29">
        <v>12</v>
      </c>
      <c r="F91" s="29">
        <f t="shared" si="19"/>
        <v>0</v>
      </c>
      <c r="H91" s="34">
        <f t="shared" si="20"/>
        <v>0</v>
      </c>
      <c r="I91" s="34">
        <f t="shared" si="21"/>
        <v>0</v>
      </c>
      <c r="J91" s="29"/>
      <c r="K91" s="56"/>
      <c r="L91" s="29"/>
    </row>
    <row r="92" spans="1:12">
      <c r="A92" s="29" t="s">
        <v>252</v>
      </c>
      <c r="B92" s="29" t="s">
        <v>103</v>
      </c>
      <c r="C92" s="29" t="s">
        <v>105</v>
      </c>
      <c r="D92" s="29"/>
      <c r="E92" s="29"/>
      <c r="F92" s="29">
        <f t="shared" si="19"/>
        <v>0</v>
      </c>
      <c r="H92" s="34" t="e">
        <f t="shared" si="20"/>
        <v>#DIV/0!</v>
      </c>
      <c r="I92" s="34" t="e">
        <f t="shared" si="21"/>
        <v>#DIV/0!</v>
      </c>
      <c r="J92" s="29"/>
      <c r="K92" s="56"/>
      <c r="L92" s="29"/>
    </row>
    <row r="93" spans="1:12">
      <c r="A93" t="s">
        <v>228</v>
      </c>
      <c r="B93" t="s">
        <v>102</v>
      </c>
      <c r="C93" t="s">
        <v>54</v>
      </c>
      <c r="E93">
        <v>12</v>
      </c>
      <c r="L93" s="29"/>
    </row>
    <row r="94" spans="1:12">
      <c r="A94" s="29" t="s">
        <v>232</v>
      </c>
      <c r="B94" s="29" t="s">
        <v>108</v>
      </c>
      <c r="C94" s="29" t="s">
        <v>54</v>
      </c>
      <c r="D94" s="29"/>
      <c r="E94" s="29">
        <v>12</v>
      </c>
      <c r="F94" s="29">
        <f t="shared" ref="F94:F101" si="22">D94*E94</f>
        <v>0</v>
      </c>
      <c r="H94" s="34">
        <f t="shared" ref="H94:H103" si="23">G94/E94</f>
        <v>0</v>
      </c>
      <c r="I94" s="34">
        <f t="shared" ref="I94:I101" si="24">H94*F94</f>
        <v>0</v>
      </c>
      <c r="J94" s="29"/>
      <c r="K94" s="56"/>
      <c r="L94" s="29"/>
    </row>
    <row r="95" spans="1:12">
      <c r="A95" s="29" t="s">
        <v>231</v>
      </c>
      <c r="B95" s="29" t="s">
        <v>108</v>
      </c>
      <c r="C95" s="29" t="s">
        <v>54</v>
      </c>
      <c r="D95" s="29"/>
      <c r="E95" s="29">
        <v>12</v>
      </c>
      <c r="F95" s="29">
        <f t="shared" si="22"/>
        <v>0</v>
      </c>
      <c r="H95" s="34">
        <f t="shared" si="23"/>
        <v>0</v>
      </c>
      <c r="I95" s="34">
        <f t="shared" si="24"/>
        <v>0</v>
      </c>
      <c r="J95" s="29"/>
      <c r="K95" s="56"/>
      <c r="L95" s="29"/>
    </row>
    <row r="96" spans="1:12">
      <c r="A96" s="29" t="s">
        <v>234</v>
      </c>
      <c r="B96" s="29" t="s">
        <v>101</v>
      </c>
      <c r="C96" s="29" t="s">
        <v>54</v>
      </c>
      <c r="D96" s="29"/>
      <c r="E96" s="29">
        <v>12</v>
      </c>
      <c r="F96" s="29">
        <f t="shared" si="22"/>
        <v>0</v>
      </c>
      <c r="H96" s="34">
        <f t="shared" si="23"/>
        <v>0</v>
      </c>
      <c r="I96" s="34">
        <f t="shared" si="24"/>
        <v>0</v>
      </c>
      <c r="J96" s="29"/>
      <c r="K96" s="56"/>
      <c r="L96" s="29"/>
    </row>
    <row r="97" spans="1:12">
      <c r="A97" s="29" t="s">
        <v>239</v>
      </c>
      <c r="B97" s="29" t="s">
        <v>101</v>
      </c>
      <c r="C97" s="29" t="s">
        <v>54</v>
      </c>
      <c r="D97" s="29"/>
      <c r="E97" s="29">
        <v>12</v>
      </c>
      <c r="F97" s="29">
        <f t="shared" si="22"/>
        <v>0</v>
      </c>
      <c r="H97" s="34">
        <f t="shared" si="23"/>
        <v>0</v>
      </c>
      <c r="I97" s="34">
        <f t="shared" si="24"/>
        <v>0</v>
      </c>
      <c r="J97" s="29"/>
      <c r="K97" s="56"/>
      <c r="L97" s="29"/>
    </row>
    <row r="98" spans="1:12">
      <c r="A98" s="29" t="s">
        <v>235</v>
      </c>
      <c r="B98" s="29" t="s">
        <v>101</v>
      </c>
      <c r="C98" s="29" t="s">
        <v>54</v>
      </c>
      <c r="D98" s="29"/>
      <c r="E98" s="29">
        <v>24</v>
      </c>
      <c r="F98" s="29">
        <f t="shared" si="22"/>
        <v>0</v>
      </c>
      <c r="H98" s="34">
        <f t="shared" si="23"/>
        <v>0</v>
      </c>
      <c r="I98" s="34">
        <f t="shared" si="24"/>
        <v>0</v>
      </c>
      <c r="J98" s="29"/>
      <c r="K98" s="56"/>
      <c r="L98" s="29"/>
    </row>
    <row r="99" spans="1:12">
      <c r="A99" s="29" t="s">
        <v>246</v>
      </c>
      <c r="B99" s="29" t="s">
        <v>87</v>
      </c>
      <c r="C99" s="29" t="s">
        <v>106</v>
      </c>
      <c r="D99" s="29"/>
      <c r="E99" s="29"/>
      <c r="F99" s="29">
        <f t="shared" si="22"/>
        <v>0</v>
      </c>
      <c r="H99" s="34" t="e">
        <f t="shared" si="23"/>
        <v>#DIV/0!</v>
      </c>
      <c r="I99" s="34" t="e">
        <f t="shared" si="24"/>
        <v>#DIV/0!</v>
      </c>
      <c r="J99" s="29"/>
      <c r="K99" s="56"/>
      <c r="L99" s="29"/>
    </row>
    <row r="100" spans="1:12">
      <c r="A100" s="29" t="s">
        <v>245</v>
      </c>
      <c r="B100" s="29" t="s">
        <v>100</v>
      </c>
      <c r="C100" s="29" t="s">
        <v>105</v>
      </c>
      <c r="D100" s="29"/>
      <c r="E100" s="29"/>
      <c r="F100" s="29">
        <f t="shared" si="22"/>
        <v>0</v>
      </c>
      <c r="H100" s="34" t="e">
        <f t="shared" si="23"/>
        <v>#DIV/0!</v>
      </c>
      <c r="I100" s="34" t="e">
        <f t="shared" si="24"/>
        <v>#DIV/0!</v>
      </c>
      <c r="J100" s="29"/>
      <c r="K100" s="56"/>
      <c r="L100" s="29"/>
    </row>
    <row r="101" spans="1:12">
      <c r="A101" s="29" t="s">
        <v>251</v>
      </c>
      <c r="B101" s="29" t="s">
        <v>99</v>
      </c>
      <c r="C101" s="29" t="s">
        <v>105</v>
      </c>
      <c r="D101" s="29"/>
      <c r="E101" s="29"/>
      <c r="F101" s="29">
        <f t="shared" si="22"/>
        <v>0</v>
      </c>
      <c r="H101" s="34" t="e">
        <f t="shared" si="23"/>
        <v>#DIV/0!</v>
      </c>
      <c r="I101" s="34" t="e">
        <f t="shared" si="24"/>
        <v>#DIV/0!</v>
      </c>
      <c r="J101" s="29"/>
      <c r="K101" s="56"/>
      <c r="L101" s="29"/>
    </row>
    <row r="102" spans="1:12">
      <c r="A102" s="29" t="s">
        <v>238</v>
      </c>
      <c r="B102" s="29" t="s">
        <v>101</v>
      </c>
      <c r="C102" s="29" t="s">
        <v>54</v>
      </c>
      <c r="D102" s="29"/>
      <c r="E102" s="29">
        <v>15</v>
      </c>
      <c r="F102" s="29">
        <f>D102*E102</f>
        <v>0</v>
      </c>
      <c r="H102" s="34">
        <f t="shared" si="23"/>
        <v>0</v>
      </c>
      <c r="I102" s="34">
        <f>H102*F102</f>
        <v>0</v>
      </c>
      <c r="J102" s="29"/>
      <c r="K102" s="56"/>
      <c r="L102" s="29"/>
    </row>
    <row r="103" spans="1:12">
      <c r="A103" s="29" t="s">
        <v>248</v>
      </c>
      <c r="B103" s="29" t="s">
        <v>99</v>
      </c>
      <c r="C103" s="29" t="s">
        <v>105</v>
      </c>
      <c r="D103" s="29"/>
      <c r="E103" s="29"/>
      <c r="F103" s="29">
        <f>D103*E103</f>
        <v>0</v>
      </c>
      <c r="H103" s="34" t="e">
        <f t="shared" si="23"/>
        <v>#DIV/0!</v>
      </c>
      <c r="I103" s="34" t="e">
        <f>H103*F103</f>
        <v>#DIV/0!</v>
      </c>
      <c r="J103" s="29"/>
      <c r="K103" s="56"/>
      <c r="L103" s="29"/>
    </row>
    <row r="104" spans="1:12">
      <c r="A104" s="29" t="s">
        <v>255</v>
      </c>
      <c r="B104" s="29" t="s">
        <v>52</v>
      </c>
      <c r="C104" s="29" t="s">
        <v>54</v>
      </c>
      <c r="D104" s="29"/>
      <c r="E104" s="29">
        <v>6</v>
      </c>
      <c r="F104" s="29">
        <f>D104*E104</f>
        <v>0</v>
      </c>
      <c r="H104" s="34">
        <f>G104/E104</f>
        <v>0</v>
      </c>
      <c r="I104" s="34">
        <f>H104*F104</f>
        <v>0</v>
      </c>
      <c r="J104" s="29"/>
      <c r="K104" s="56"/>
      <c r="L104" s="29"/>
    </row>
    <row r="105" spans="1:12">
      <c r="A105" s="29" t="s">
        <v>258</v>
      </c>
      <c r="B105" s="29" t="s">
        <v>50</v>
      </c>
      <c r="C105" s="29" t="s">
        <v>54</v>
      </c>
      <c r="D105" s="29"/>
      <c r="E105" s="29">
        <v>6</v>
      </c>
      <c r="F105" s="29"/>
      <c r="H105" s="29"/>
      <c r="I105" s="29"/>
      <c r="J105" s="29"/>
      <c r="K105" s="29"/>
      <c r="L105" s="29"/>
    </row>
    <row r="106" spans="1:12">
      <c r="A106" s="29" t="s">
        <v>259</v>
      </c>
      <c r="B106" s="29" t="s">
        <v>50</v>
      </c>
      <c r="C106" s="29" t="s">
        <v>54</v>
      </c>
      <c r="D106" s="29"/>
      <c r="E106" s="29">
        <v>6</v>
      </c>
      <c r="F106" s="29"/>
      <c r="H106" s="29"/>
      <c r="I106" s="29"/>
      <c r="J106" s="29"/>
      <c r="K106" s="29"/>
      <c r="L106" s="29"/>
    </row>
    <row r="107" spans="1:12">
      <c r="A107" s="29" t="s">
        <v>256</v>
      </c>
      <c r="B107" s="29" t="s">
        <v>50</v>
      </c>
      <c r="C107" s="29" t="s">
        <v>54</v>
      </c>
      <c r="D107" s="29"/>
      <c r="E107" s="29">
        <v>6</v>
      </c>
      <c r="F107" s="29"/>
      <c r="H107" s="29"/>
      <c r="I107" s="29"/>
      <c r="J107" s="29"/>
      <c r="K107" s="29"/>
      <c r="L107" s="29"/>
    </row>
    <row r="108" spans="1:12">
      <c r="A108" s="29" t="s">
        <v>261</v>
      </c>
      <c r="B108" s="29" t="s">
        <v>52</v>
      </c>
      <c r="C108" s="29" t="s">
        <v>54</v>
      </c>
      <c r="D108" s="29"/>
      <c r="E108" s="29">
        <v>6</v>
      </c>
      <c r="F108" s="29"/>
      <c r="H108" s="29"/>
      <c r="I108" s="29"/>
      <c r="J108" s="29"/>
      <c r="K108" s="29"/>
      <c r="L108" s="29"/>
    </row>
    <row r="109" spans="1:12">
      <c r="A109" s="29" t="s">
        <v>257</v>
      </c>
      <c r="B109" s="29" t="s">
        <v>89</v>
      </c>
      <c r="C109" s="29" t="s">
        <v>49</v>
      </c>
      <c r="D109" s="29"/>
      <c r="E109" s="29">
        <v>10</v>
      </c>
      <c r="F109" s="29"/>
      <c r="H109" s="29"/>
      <c r="I109" s="29"/>
      <c r="J109" s="29"/>
      <c r="K109" s="29"/>
      <c r="L109" s="29"/>
    </row>
    <row r="110" spans="1:12">
      <c r="A110" s="29" t="s">
        <v>260</v>
      </c>
      <c r="B110" s="29" t="s">
        <v>50</v>
      </c>
      <c r="C110" s="29" t="s">
        <v>54</v>
      </c>
      <c r="D110" s="29"/>
      <c r="E110" s="29">
        <v>12</v>
      </c>
      <c r="F110" s="29"/>
      <c r="H110" s="29"/>
      <c r="I110" s="29"/>
      <c r="J110" s="29"/>
      <c r="K110" s="29"/>
      <c r="L110" s="29"/>
    </row>
    <row r="111" spans="1:12">
      <c r="G111" s="67"/>
    </row>
  </sheetData>
  <pageMargins left="0.31496062992125984" right="0.31496062992125984" top="0.39370078740157483" bottom="0.39370078740157483" header="0.11811023622047245" footer="0.11811023622047245"/>
  <pageSetup paperSize="9"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17</vt:i4>
      </vt:variant>
    </vt:vector>
  </HeadingPairs>
  <TitlesOfParts>
    <vt:vector size="17" baseType="lpstr">
      <vt:lpstr>tous Tabelles</vt:lpstr>
      <vt:lpstr>caise</vt:lpstr>
      <vt:lpstr>dim_date</vt:lpstr>
      <vt:lpstr>dim_categories</vt:lpstr>
      <vt:lpstr>dim_produits</vt:lpstr>
      <vt:lpstr>dim_lignes_vente</vt:lpstr>
      <vt:lpstr>fact_ventes</vt:lpstr>
      <vt:lpstr>dim_lignes_achat</vt:lpstr>
      <vt:lpstr>fact_achats</vt:lpstr>
      <vt:lpstr>fact_depenses</vt:lpstr>
      <vt:lpstr>dim_pertes</vt:lpstr>
      <vt:lpstr>dim_acheteurs</vt:lpstr>
      <vt:lpstr>dim_vendeurs</vt:lpstr>
      <vt:lpstr>fact_tresorerie</vt:lpstr>
      <vt:lpstr>fact_inventaire</vt:lpstr>
      <vt:lpstr>iventaire_1</vt:lpstr>
      <vt:lpstr>liste_boutique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Girandoux Fandio Nganwajop</dc:creator>
  <cp:lastModifiedBy>Girandoux Fandio Nganwajop</cp:lastModifiedBy>
  <cp:lastPrinted>2026-06-30T15:42:55Z</cp:lastPrinted>
  <dcterms:created xsi:type="dcterms:W3CDTF">2026-06-13T18:43:20Z</dcterms:created>
  <dcterms:modified xsi:type="dcterms:W3CDTF">2026-07-24T22:15:45Z</dcterms:modified>
</cp:coreProperties>
</file>